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Maria Jose\Downloads\"/>
    </mc:Choice>
  </mc:AlternateContent>
  <xr:revisionPtr revIDLastSave="0" documentId="13_ncr:1_{8CE12F23-0670-418A-9787-20BC2483AD62}" xr6:coauthVersionLast="47" xr6:coauthVersionMax="47" xr10:uidLastSave="{00000000-0000-0000-0000-000000000000}"/>
  <bookViews>
    <workbookView xWindow="19090" yWindow="-110" windowWidth="19420" windowHeight="11500" tabRatio="500" xr2:uid="{00000000-000D-0000-FFFF-FFFF00000000}"/>
  </bookViews>
  <sheets>
    <sheet name="Dashboard" sheetId="1" r:id="rId1"/>
    <sheet name="Hoja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5" i="1" l="1"/>
  <c r="D25" i="1"/>
  <c r="C25" i="1"/>
  <c r="F24" i="1"/>
  <c r="D24" i="1"/>
  <c r="C24" i="1"/>
  <c r="F23" i="1"/>
  <c r="D23" i="1"/>
  <c r="C23" i="1"/>
  <c r="F22" i="1"/>
  <c r="D22" i="1"/>
  <c r="C22" i="1"/>
  <c r="F21" i="1"/>
  <c r="D21" i="1"/>
  <c r="C21" i="1"/>
  <c r="F20" i="1"/>
  <c r="D20" i="1"/>
  <c r="C20" i="1"/>
  <c r="F19" i="1"/>
  <c r="D19" i="1"/>
  <c r="C19" i="1"/>
  <c r="C15" i="1"/>
  <c r="C14" i="1"/>
  <c r="C13" i="1"/>
  <c r="D9" i="1"/>
  <c r="B9" i="1"/>
  <c r="H6" i="1"/>
  <c r="F6" i="1"/>
  <c r="D6" i="1"/>
  <c r="B6" i="1"/>
  <c r="E22" i="1" l="1"/>
  <c r="E19" i="1"/>
  <c r="E23" i="1"/>
  <c r="E20" i="1"/>
  <c r="E24" i="1"/>
  <c r="E21" i="1"/>
  <c r="E25" i="1"/>
</calcChain>
</file>

<file path=xl/sharedStrings.xml><?xml version="1.0" encoding="utf-8"?>
<sst xmlns="http://schemas.openxmlformats.org/spreadsheetml/2006/main" count="491" uniqueCount="375">
  <si>
    <t>Dashboard de Ejecución — Plan de Pruebas PS-01 a PS-65</t>
  </si>
  <si>
    <t>Total de casos</t>
  </si>
  <si>
    <t>Ejecutados</t>
  </si>
  <si>
    <t>Aprobados</t>
  </si>
  <si>
    <t>Fallidos</t>
  </si>
  <si>
    <t>% Avance</t>
  </si>
  <si>
    <t>% Aprobación (sobre ejecutados)</t>
  </si>
  <si>
    <t>Resumen por estado</t>
  </si>
  <si>
    <t>Estado</t>
  </si>
  <si>
    <t>Cantidad</t>
  </si>
  <si>
    <t>Aprobado</t>
  </si>
  <si>
    <t>Fallido</t>
  </si>
  <si>
    <t>Pendiente</t>
  </si>
  <si>
    <t>Avance por requisito (CU)</t>
  </si>
  <si>
    <t>CU</t>
  </si>
  <si>
    <t>Total</t>
  </si>
  <si>
    <t>CU-01</t>
  </si>
  <si>
    <t>CU-02</t>
  </si>
  <si>
    <t>CU-03</t>
  </si>
  <si>
    <t>CU-04</t>
  </si>
  <si>
    <t>CU-05</t>
  </si>
  <si>
    <t>CU-06</t>
  </si>
  <si>
    <t>CU-WEB</t>
  </si>
  <si>
    <t>ID Prueba</t>
  </si>
  <si>
    <t>Nombre de la Prueba</t>
  </si>
  <si>
    <t>Requisito (CU)</t>
  </si>
  <si>
    <t>Precondición</t>
  </si>
  <si>
    <t>Datos</t>
  </si>
  <si>
    <t>Acción</t>
  </si>
  <si>
    <t>Resultado esperado</t>
  </si>
  <si>
    <t>Resultado obtenido</t>
  </si>
  <si>
    <t>Evidencia</t>
  </si>
  <si>
    <t>PS-01</t>
  </si>
  <si>
    <t>Login correcto (Recepcionista)</t>
  </si>
  <si>
    <t>Usuario activo</t>
  </si>
  <si>
    <t>Correo: rep@hotel.cl / Clave: "1234"</t>
  </si>
  <si>
    <t>Enviar POST a /login</t>
  </si>
  <si>
    <t>Retorna Token JWT y rol RECEPCIONISTA</t>
  </si>
  <si>
    <t>PS-02</t>
  </si>
  <si>
    <t>Login correcto (Limpieza)</t>
  </si>
  <si>
    <t>Correo: aseo@hotel.cl / Clave: "1234"</t>
  </si>
  <si>
    <t>Retorna Token JWT y rol LIMPIEZA</t>
  </si>
  <si>
    <t>PS-03</t>
  </si>
  <si>
    <t>Login con clave incorrecta</t>
  </si>
  <si>
    <t>Usuario registrado</t>
  </si>
  <si>
    <t>Correo: rep@hotel.cl / Clave: "mal"</t>
  </si>
  <si>
    <t>Rechazo. No genera Token. Muestra error (401)</t>
  </si>
  <si>
    <t>PS-04</t>
  </si>
  <si>
    <t>Login con campos vacíos</t>
  </si>
  <si>
    <t>Ninguna</t>
  </si>
  <si>
    <t>Correo: "" / Clave: ""</t>
  </si>
  <si>
    <t>Validación de backend rechaza por campos nulos</t>
  </si>
  <si>
    <t>PS-05</t>
  </si>
  <si>
    <t>Intento de Inyección SQL</t>
  </si>
  <si>
    <t>Correo: "admin' OR 1=1--"</t>
  </si>
  <si>
    <t>ORM escapa caracteres, login fallido (401)</t>
  </si>
  <si>
    <t>PS-06</t>
  </si>
  <si>
    <t>Acceso sin Token (Ruta protegida)</t>
  </si>
  <si>
    <t>Usuario no logueado</t>
  </si>
  <si>
    <t>Sin Header Authorization</t>
  </si>
  <si>
    <t>Hacer GET a /habitaciones</t>
  </si>
  <si>
    <t>Middleware bloquea acceso (403 Forbidden)</t>
  </si>
  <si>
    <t>PS-07</t>
  </si>
  <si>
    <t>Expiración de Token JWT</t>
  </si>
  <si>
    <t>Token vencido (más de 8 horas)</t>
  </si>
  <si>
    <t>Token viejo</t>
  </si>
  <si>
    <t>Middleware detecta expiración y desloguea</t>
  </si>
  <si>
    <t>PS-08</t>
  </si>
  <si>
    <t>Control de Roles (RBAC) - Denegado</t>
  </si>
  <si>
    <t>Mucama logueada (Rol LIMPIEZA)</t>
  </si>
  <si>
    <t>Token de limpieza</t>
  </si>
  <si>
    <t>Intentar hacer POST a /pagos</t>
  </si>
  <si>
    <t>Bloqueo por falta de privilegios (403)</t>
  </si>
  <si>
    <t>PS-09</t>
  </si>
  <si>
    <t>Login con usuario inactivo</t>
  </si>
  <si>
    <t>Usuario dado de baja en BD</t>
  </si>
  <si>
    <t>Correo: ex@hotel.cl</t>
  </si>
  <si>
    <t>Rechazo por cuenta inactiva (403 Forbidden)</t>
  </si>
  <si>
    <t>PS-10</t>
  </si>
  <si>
    <t>Solicitud de recuperación de clave</t>
  </si>
  <si>
    <t>Correo: rep@hotel.cl</t>
  </si>
  <si>
    <t>Clic en "Olvidé mi contraseña"</t>
  </si>
  <si>
    <t>Sistema envía correo con link temporal</t>
  </si>
  <si>
    <t>PS-11</t>
  </si>
  <si>
    <t>Consultar disponibilidad (Fechas válidas)</t>
  </si>
  <si>
    <t>Recepcionista logueado</t>
  </si>
  <si>
    <t>Inicio: Hoy / Fin: Mañana</t>
  </si>
  <si>
    <t>Enviar GET a /disponibilidad</t>
  </si>
  <si>
    <t>Retorna lista de habitaciones libres/ocupadas</t>
  </si>
  <si>
    <t>PS-12</t>
  </si>
  <si>
    <t>Consultar sin fechas (Por defecto)</t>
  </si>
  <si>
    <t>Vacío</t>
  </si>
  <si>
    <t>Asume fecha de hoy y muestra estado actual</t>
  </si>
  <si>
    <t>PS-13</t>
  </si>
  <si>
    <t>Consultar con Fecha Fin menor a Inicio</t>
  </si>
  <si>
    <t>Inicio: 20/10 / Fin: 15/10</t>
  </si>
  <si>
    <t>Error de validación lógica de negocio (400)</t>
  </si>
  <si>
    <t>PS-14</t>
  </si>
  <si>
    <t>Consulta de disponibilidad en el pasado</t>
  </si>
  <si>
    <t>Fechas: 01/01/2000</t>
  </si>
  <si>
    <t>Validación frena consulta de fechas pasadas (400)</t>
  </si>
  <si>
    <t>PS-15</t>
  </si>
  <si>
    <t>Reserva en habitación libre</t>
  </si>
  <si>
    <t>Hab. 101, Fechas correctas</t>
  </si>
  <si>
    <t>Enviar POST a /reservas</t>
  </si>
  <si>
    <t>Reserva creada, cambia estado temporal (201)</t>
  </si>
  <si>
    <t>PS-16</t>
  </si>
  <si>
    <t>Impedir segunda reserva (Solapamiento)</t>
  </si>
  <si>
    <t>Hab. 101 reservada hoy</t>
  </si>
  <si>
    <t>Hab. 101, misma fecha</t>
  </si>
  <si>
    <t>Regla RN-01 bloquea choque de reservas (409)</t>
  </si>
  <si>
    <t>PS-17</t>
  </si>
  <si>
    <t>Reserva en habitación bloqueada</t>
  </si>
  <si>
    <t>Hab. 102 en "Mantenimiento"</t>
  </si>
  <si>
    <t>Hab. 102</t>
  </si>
  <si>
    <t>Bloqueo preventivo por fallas técnicas (409)</t>
  </si>
  <si>
    <t>PS-18</t>
  </si>
  <si>
    <t>Reserva con datos incompletos</t>
  </si>
  <si>
    <t>Habitación libre</t>
  </si>
  <si>
    <t>Faltan datos (RUT vacío)</t>
  </si>
  <si>
    <t>Intentar guardar nueva reserva</t>
  </si>
  <si>
    <t>Alerta UI: "Faltan datos obligatorios"</t>
  </si>
  <si>
    <t>PS-19</t>
  </si>
  <si>
    <t>Cancelación anticipada de reserva</t>
  </si>
  <si>
    <t>Reserva creada</t>
  </si>
  <si>
    <t>Reserva ID 55</t>
  </si>
  <si>
    <t>Ejecutar PUT /reservas/55/cancelar</t>
  </si>
  <si>
    <t>Libera inventario, habitación queda Disponible</t>
  </si>
  <si>
    <t>PS-20</t>
  </si>
  <si>
    <t>Modificar reserva (Sin conflicto)</t>
  </si>
  <si>
    <t>Extender 1 día más</t>
  </si>
  <si>
    <t>Actualizar fechas de estadía</t>
  </si>
  <si>
    <t>Actualiza con éxito y mantiene habitación (200)</t>
  </si>
  <si>
    <t>PS-21</t>
  </si>
  <si>
    <t>Modificar reserva (Con conflicto)</t>
  </si>
  <si>
    <t>Actualizar chocando con otra reserva</t>
  </si>
  <si>
    <t>Rechaza actualización por solapamiento (409)</t>
  </si>
  <si>
    <t>PS-22</t>
  </si>
  <si>
    <t>Registrar abono en efectivo</t>
  </si>
  <si>
    <t>Folio activo, deuda 100k</t>
  </si>
  <si>
    <t>Monto: 20.000, Medio: Efec</t>
  </si>
  <si>
    <t>Enviar POST a /pagos</t>
  </si>
  <si>
    <t>Reduce saldo a 80k, registra comprobante</t>
  </si>
  <si>
    <t>PS-23</t>
  </si>
  <si>
    <t>Registrar abono con Tarjeta</t>
  </si>
  <si>
    <t>Folio activo</t>
  </si>
  <si>
    <t>Monto: 20.000, Medio: TC</t>
  </si>
  <si>
    <t>Registra pago y num transacción</t>
  </si>
  <si>
    <t>PS-24</t>
  </si>
  <si>
    <t>Impedir abono con monto negativo</t>
  </si>
  <si>
    <t>Monto: -1000</t>
  </si>
  <si>
    <t>Error de validación (AnticipoDecorator)</t>
  </si>
  <si>
    <t>PS-25</t>
  </si>
  <si>
    <t>Impedir abono de $0</t>
  </si>
  <si>
    <t>Monto: 0</t>
  </si>
  <si>
    <t>Error de validación (400 Bad Request)</t>
  </si>
  <si>
    <t>PS-26</t>
  </si>
  <si>
    <t>Abono mayor a la deuda (Vuelto)</t>
  </si>
  <si>
    <t>Deuda: 10.000</t>
  </si>
  <si>
    <t>Monto: 20.000</t>
  </si>
  <si>
    <t>Alerta de sobrepago o registra saldo a favor</t>
  </si>
  <si>
    <t>PS-27</t>
  </si>
  <si>
    <t>Impedir pago en Folio ya Cerrado</t>
  </si>
  <si>
    <t>Reserva Check-out ok</t>
  </si>
  <si>
    <t>Monto: 10.000</t>
  </si>
  <si>
    <t>Rechazo absoluto por folio inactivo (409)</t>
  </si>
  <si>
    <t>PS-28</t>
  </si>
  <si>
    <t>Listar historial de pagos</t>
  </si>
  <si>
    <t>Folio con 3 pagos hechos</t>
  </si>
  <si>
    <t>Reserva ID: 105</t>
  </si>
  <si>
    <t>Consultar detalle de pagos en UI</t>
  </si>
  <si>
    <t>Muestra lista con los 3 montos, fechas y cajero</t>
  </si>
  <si>
    <t>PS-29</t>
  </si>
  <si>
    <t>Abono con formato numérico inválido</t>
  </si>
  <si>
    <t>Monto: "ABC"</t>
  </si>
  <si>
    <t>Error de formato; el controlador rechaza texto</t>
  </si>
  <si>
    <t>PS-30</t>
  </si>
  <si>
    <t>Cargar lista de tareas de aseo</t>
  </si>
  <si>
    <t>Mucama logueada</t>
  </si>
  <si>
    <t>GET /housekeeping</t>
  </si>
  <si>
    <t>Muestra solo habitaciones "Sucias" o "EnLimpieza"</t>
  </si>
  <si>
    <t>PS-31</t>
  </si>
  <si>
    <t>Iniciar Aseo de habitación</t>
  </si>
  <si>
    <t>Hab. 201 "Sucia"</t>
  </si>
  <si>
    <t>ID Hab: 201</t>
  </si>
  <si>
    <t>Clic en "Iniciar Limpieza"</t>
  </si>
  <si>
    <t>Cambia estado habitación a "EnLimpieza"</t>
  </si>
  <si>
    <t>PS-32</t>
  </si>
  <si>
    <t>Checklist exitoso (Finaliza Aseo)</t>
  </si>
  <si>
    <t>Hab. 201 "EnLimpieza"</t>
  </si>
  <si>
    <t>Todos los checks OK</t>
  </si>
  <si>
    <t>Clic en "Marcar Limpia"</t>
  </si>
  <si>
    <t>Cambia estado a "Disponible" para arriendo</t>
  </si>
  <si>
    <t>PS-33</t>
  </si>
  <si>
    <t>Checklist sin marcar campos obligatorios</t>
  </si>
  <si>
    <t>Hab. 201</t>
  </si>
  <si>
    <t>Checks incompletos</t>
  </si>
  <si>
    <t>App móvil bloquea envío del formulario</t>
  </si>
  <si>
    <t>PS-34</t>
  </si>
  <si>
    <t>Limpieza dejada a medias</t>
  </si>
  <si>
    <t>Cerrar app sin guardar</t>
  </si>
  <si>
    <t>Salir de la aplicación móvil</t>
  </si>
  <si>
    <t>Habitación no cambia, sigue "EnLimpieza"</t>
  </si>
  <si>
    <t>PS-35</t>
  </si>
  <si>
    <t>Consultar checklist de hab. limpia</t>
  </si>
  <si>
    <t>Habitación "Disponible"</t>
  </si>
  <si>
    <t>Intentar abrir checklist en app</t>
  </si>
  <si>
    <t>Bloqueo: "Habitación ya está limpia"</t>
  </si>
  <si>
    <t>PS-36</t>
  </si>
  <si>
    <t>Reporte de falla desde app de aseo</t>
  </si>
  <si>
    <t>Hab. 202 "Sucia"</t>
  </si>
  <si>
    <t>Input: "Gotera grave"</t>
  </si>
  <si>
    <t>Clic en "Detecta Desperfecto" y Enviar</t>
  </si>
  <si>
    <t>Cambia estado a "Bloqueada por mantenimiento"</t>
  </si>
  <si>
    <t>PS-37</t>
  </si>
  <si>
    <t>Recepción reporta falla grave</t>
  </si>
  <si>
    <t>Hab 301, "Cama rota"</t>
  </si>
  <si>
    <t>POST a /reporte-falla (Grave)</t>
  </si>
  <si>
    <t>Bloquea inmediatamente la habitación</t>
  </si>
  <si>
    <t>PS-38</t>
  </si>
  <si>
    <t>Recepción reporta falla leve</t>
  </si>
  <si>
    <t>Hab 302, "Ampolleta"</t>
  </si>
  <si>
    <t>POST a /reporte-falla (Leve)</t>
  </si>
  <si>
    <t>No bloquea habitación, genera ticket preventivo</t>
  </si>
  <si>
    <t>PS-39</t>
  </si>
  <si>
    <t>Visualizar tickets bloqueados</t>
  </si>
  <si>
    <t>Mantenimiento logueado</t>
  </si>
  <si>
    <t>GET /mantenimiento</t>
  </si>
  <si>
    <t>Lista de habitaciones fuera de servicio</t>
  </si>
  <si>
    <t>PS-40</t>
  </si>
  <si>
    <t>Actualizar falla leve a grave</t>
  </si>
  <si>
    <t>Ticket leve activo</t>
  </si>
  <si>
    <t>Cambio a "Grave"</t>
  </si>
  <si>
    <t>Actualizar ticket de Mantenimiento</t>
  </si>
  <si>
    <t>Se activa regla y la habitación se bloquea</t>
  </si>
  <si>
    <t>PS-41</t>
  </si>
  <si>
    <t>Finalizar reparación técnica</t>
  </si>
  <si>
    <t>Ticket abierto Hab 301</t>
  </si>
  <si>
    <t>Estado: Completado</t>
  </si>
  <si>
    <t>PUT /reporte-falla/cerrar</t>
  </si>
  <si>
    <t>Habitación cambia a "Sucia" (Requiere aseo)</t>
  </si>
  <si>
    <t>PS-42</t>
  </si>
  <si>
    <t>Asignar huésped a hab. mantenimiento</t>
  </si>
  <si>
    <t>Hab. "Bloqueada"</t>
  </si>
  <si>
    <t>Check-in manual</t>
  </si>
  <si>
    <t>Recepcionista fuerza check-in en sistema</t>
  </si>
  <si>
    <t>El sistema lo impide categóricamente (409)</t>
  </si>
  <si>
    <t>PS-43</t>
  </si>
  <si>
    <t>Consolidar consumos de frigobar</t>
  </si>
  <si>
    <t>Huésped en Check-out</t>
  </si>
  <si>
    <t>Consumo: $5.000</t>
  </si>
  <si>
    <t>GET /folio/calcular</t>
  </si>
  <si>
    <t>Total a pagar suma alojamiento + consumos</t>
  </si>
  <si>
    <t>PS-44</t>
  </si>
  <si>
    <t>Procesar Check-out exitoso (Deuda $0)</t>
  </si>
  <si>
    <t>Folio balance $0</t>
  </si>
  <si>
    <t>Reserva 200</t>
  </si>
  <si>
    <t>Clic en "Confirmar Check-out"</t>
  </si>
  <si>
    <t>Cierra Folio, pasa hab. a Sucia, envía PDF</t>
  </si>
  <si>
    <t>PS-45</t>
  </si>
  <si>
    <t>Impedir Check-out con pagos pendientes</t>
  </si>
  <si>
    <t>Folio deuda $10.000</t>
  </si>
  <si>
    <t>Reserva 201</t>
  </si>
  <si>
    <t>El sistema frena la salida y exige pago final</t>
  </si>
  <si>
    <t>PS-46</t>
  </si>
  <si>
    <t>Check-out anticipado (Penalidad)</t>
  </si>
  <si>
    <t>Huésped sale antes</t>
  </si>
  <si>
    <t>Regla de penalización</t>
  </si>
  <si>
    <t>Clic en "Procesar Check-out"</t>
  </si>
  <si>
    <t>Calcula monto sumando cargos por salida anticipada</t>
  </si>
  <si>
    <t>PS-47</t>
  </si>
  <si>
    <t>Generación de Comprobante PDF</t>
  </si>
  <si>
    <t>Check-out completado</t>
  </si>
  <si>
    <t>Folio 200</t>
  </si>
  <si>
    <t>FactoryMethod procesa datos de folio</t>
  </si>
  <si>
    <t>PDF generado y guardado en servidor</t>
  </si>
  <si>
    <t>PS-48</t>
  </si>
  <si>
    <t>Caída de sistema al generar PDF</t>
  </si>
  <si>
    <t>Check-out pagado</t>
  </si>
  <si>
    <t>Error de Servidor</t>
  </si>
  <si>
    <t>Simulador de falla del módulo PDF</t>
  </si>
  <si>
    <t>Cierra folio, pero notifica "Error al enviar correo"</t>
  </si>
  <si>
    <t>PS-49</t>
  </si>
  <si>
    <t>Envío asíncrono de correo (Observer)</t>
  </si>
  <si>
    <t>Correo de Huésped</t>
  </si>
  <si>
    <t>Observer reacciona al cierre</t>
  </si>
  <si>
    <t>Envía email con PDF adjunto en segundo plano</t>
  </si>
  <si>
    <t>PS-50</t>
  </si>
  <si>
    <t>Liquidación de Folio Grupal</t>
  </si>
  <si>
    <t>Reserva de 2 habs.</t>
  </si>
  <si>
    <t>Un solo RUT de pago</t>
  </si>
  <si>
    <t>Procesar Check-out Consolidado</t>
  </si>
  <si>
    <t>Suma cuentas de ambas habitaciones en 1 pago</t>
  </si>
  <si>
    <t>PS-51</t>
  </si>
  <si>
    <t>Registro de nuevo huésped (Éxito)</t>
  </si>
  <si>
    <t>Correo no registrado</t>
  </si>
  <si>
    <t>RUT, Nombre, Correo, Clave</t>
  </si>
  <si>
    <t>Enviar POST a /registro-cliente</t>
  </si>
  <si>
    <t>Crea cuenta, envía correo de bienvenida y loguea</t>
  </si>
  <si>
    <t>PS-52</t>
  </si>
  <si>
    <t>Registro con correo/RUT existente</t>
  </si>
  <si>
    <t>Huésped ya existe en BD</t>
  </si>
  <si>
    <t>RUT de cliente existente</t>
  </si>
  <si>
    <t>Rechazo (409 Conflict): "El usuario ya existe"</t>
  </si>
  <si>
    <t>PS-53</t>
  </si>
  <si>
    <t>Registro con contraseña débil</t>
  </si>
  <si>
    <t>Clave: "123"</t>
  </si>
  <si>
    <t>Enviar formulario de registro web</t>
  </si>
  <si>
    <t>App bloquea envío exigiendo mayúsculas/números</t>
  </si>
  <si>
    <t>PS-54</t>
  </si>
  <si>
    <t>Login correcto de Huésped</t>
  </si>
  <si>
    <t>Cliente registrado</t>
  </si>
  <si>
    <t>Correo y clave de cliente</t>
  </si>
  <si>
    <t>Enviar POST a /login-web</t>
  </si>
  <si>
    <t>Retorna Token JWT con rol HUESPED</t>
  </si>
  <si>
    <t>PS-55</t>
  </si>
  <si>
    <t>Cerrar sesión (Logout)</t>
  </si>
  <si>
    <t>Huésped logueado</t>
  </si>
  <si>
    <t>Clic en Cerrar Sesión</t>
  </si>
  <si>
    <t>Ejecutar POST a /logout</t>
  </si>
  <si>
    <t>Invalida Token y redirige al inicio de la web</t>
  </si>
  <si>
    <t>PS-56</t>
  </si>
  <si>
    <t>Búsqueda de habitaciones desde web</t>
  </si>
  <si>
    <t>Rango de fechas para turismo</t>
  </si>
  <si>
    <t>Usar buscador de la página principal</t>
  </si>
  <si>
    <t>Muestra catálogo de habitaciones disponibles en fecha</t>
  </si>
  <si>
    <t>PS-57</t>
  </si>
  <si>
    <t>Reserva web exitosa (Auto-atención)</t>
  </si>
  <si>
    <t>Huésped logueado, Habitación libre</t>
  </si>
  <si>
    <t>Fechas y selección de habitación</t>
  </si>
  <si>
    <t>Clic en "Confirmar mi Reserva" en la web</t>
  </si>
  <si>
    <t>Reserva creada, bloquea cupo, pasa a pasarela de pago</t>
  </si>
  <si>
    <t>PS-58</t>
  </si>
  <si>
    <t>Intento de reserva web sin stock</t>
  </si>
  <si>
    <t>Habitación llena en la fecha</t>
  </si>
  <si>
    <t>Mismas fechas de hotel lleno</t>
  </si>
  <si>
    <t>Clic en "Reservar"</t>
  </si>
  <si>
    <t>Error (409): "Se agotó el inventario para esta fecha"</t>
  </si>
  <si>
    <t>PS-59</t>
  </si>
  <si>
    <t>Simulación pago web aprobado (WebPay)</t>
  </si>
  <si>
    <t>Reserva en proceso</t>
  </si>
  <si>
    <t>Tarjeta de crédito de prueba</t>
  </si>
  <si>
    <t>Completar flujo de WebPay/Transbank</t>
  </si>
  <si>
    <t>Pago exitoso, sistema envía voucher PDF al correo</t>
  </si>
  <si>
    <t>PS-60</t>
  </si>
  <si>
    <t>Simulación pago web rechazado</t>
  </si>
  <si>
    <t>Tarjeta sin fondos</t>
  </si>
  <si>
    <t>Rechazo, reserva temporal se cancela, libera inventario</t>
  </si>
  <si>
    <t>PS-61</t>
  </si>
  <si>
    <t>Cancelación de reserva anticipada web</t>
  </si>
  <si>
    <t>Reserva web a futuro (1 mes)</t>
  </si>
  <si>
    <t>Clic en "Cancelar mi reserva"</t>
  </si>
  <si>
    <t>Confirmar anulación</t>
  </si>
  <si>
    <t>Cancela exitosamente sin cobros (política del hotel)</t>
  </si>
  <si>
    <t>PS-62</t>
  </si>
  <si>
    <t>Cancelación fuera de plazo (Mismo día)</t>
  </si>
  <si>
    <t>Reserva para hoy</t>
  </si>
  <si>
    <t>Sistema advierte o aplica cobro de penalidad del 100%</t>
  </si>
  <si>
    <t>PS-63</t>
  </si>
  <si>
    <t>Visualizar "Mis Reservas"</t>
  </si>
  <si>
    <t>Huésped logueado, 2 reservas previas</t>
  </si>
  <si>
    <t>Navegar al panel "Mi Cuenta"</t>
  </si>
  <si>
    <t>Sistema lista el historial de reservas pasadas y futuras</t>
  </si>
  <si>
    <t>Sistema lista el historial de reservas pasadas</t>
  </si>
  <si>
    <t>PS-64</t>
  </si>
  <si>
    <t>Actualizar datos del perfil</t>
  </si>
  <si>
    <t>Cambiar número de teléfono</t>
  </si>
  <si>
    <t>Clic en "Guardar perfil"</t>
  </si>
  <si>
    <t>Base de datos se actualiza con el nuevo teléfono (200 OK)</t>
  </si>
  <si>
    <t>PS-65</t>
  </si>
  <si>
    <t>Descargar factura antigua desde web</t>
  </si>
  <si>
    <t>Clic en ícono de PDF de reserva pasada</t>
  </si>
  <si>
    <t>Sistema descarga el archivo usando el GeneradorFactory</t>
  </si>
  <si>
    <t>Sistema descarga el archivo (GeneradorFactory)</t>
  </si>
  <si>
    <t>Criterio de aceptación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</si>
</sst>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5" x14ac:knownFonts="1">
    <font>
      <sz val="11"/>
      <color theme="1"/>
      <name val="Aptos Narrow"/>
      <family val="2"/>
      <charset val="1"/>
    </font>
    <font>
      <b/>
      <sz val="16"/>
      <color rgb="FF1A365D"/>
      <name val="Calibri"/>
      <charset val="1"/>
    </font>
    <font>
      <i/>
      <sz val="10"/>
      <color rgb="FF666666"/>
      <name val="Calibri"/>
      <charset val="1"/>
    </font>
    <font>
      <b/>
      <sz val="10"/>
      <color rgb="FF666666"/>
      <name val="Calibri"/>
      <charset val="1"/>
    </font>
    <font>
      <b/>
      <sz val="26"/>
      <color rgb="FF1A365D"/>
      <name val="Calibri"/>
      <charset val="1"/>
    </font>
    <font>
      <b/>
      <sz val="26"/>
      <color rgb="FF4A5568"/>
      <name val="Calibri"/>
      <charset val="1"/>
    </font>
    <font>
      <b/>
      <sz val="26"/>
      <color rgb="FF2E7D32"/>
      <name val="Calibri"/>
      <charset val="1"/>
    </font>
    <font>
      <b/>
      <sz val="26"/>
      <color rgb="FFC62828"/>
      <name val="Calibri"/>
      <charset val="1"/>
    </font>
    <font>
      <b/>
      <sz val="22"/>
      <color rgb="FFED8936"/>
      <name val="Calibri"/>
      <charset val="1"/>
    </font>
    <font>
      <b/>
      <sz val="22"/>
      <color rgb="FF2E7D32"/>
      <name val="Calibri"/>
      <charset val="1"/>
    </font>
    <font>
      <sz val="1"/>
      <color rgb="FFFFFFFF"/>
      <name val="Cambria"/>
      <charset val="1"/>
    </font>
    <font>
      <b/>
      <sz val="12"/>
      <color rgb="FF1A365D"/>
      <name val="Calibri"/>
      <charset val="1"/>
    </font>
    <font>
      <b/>
      <sz val="10"/>
      <color rgb="FFFFFFFF"/>
      <name val="Calibri"/>
      <charset val="1"/>
    </font>
    <font>
      <b/>
      <sz val="14"/>
      <color theme="1"/>
      <name val="Calibri"/>
      <family val="2"/>
    </font>
    <font>
      <sz val="14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A365D"/>
        <bgColor rgb="FF333333"/>
      </patternFill>
    </fill>
  </fills>
  <borders count="10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medium">
        <color indexed="64"/>
      </left>
      <right style="thin">
        <color rgb="FFD9D9D9"/>
      </right>
      <top style="medium">
        <color indexed="64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medium">
        <color indexed="64"/>
      </top>
      <bottom style="thin">
        <color rgb="FFD9D9D9"/>
      </bottom>
      <diagonal/>
    </border>
    <border>
      <left style="thin">
        <color rgb="FFD9D9D9"/>
      </left>
      <right style="medium">
        <color indexed="64"/>
      </right>
      <top style="medium">
        <color indexed="64"/>
      </top>
      <bottom style="thin">
        <color rgb="FFD9D9D9"/>
      </bottom>
      <diagonal/>
    </border>
    <border>
      <left style="medium">
        <color indexed="64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medium">
        <color indexed="64"/>
      </right>
      <top style="thin">
        <color rgb="FFD9D9D9"/>
      </top>
      <bottom style="thin">
        <color rgb="FFD9D9D9"/>
      </bottom>
      <diagonal/>
    </border>
    <border>
      <left style="medium">
        <color indexed="64"/>
      </left>
      <right style="thin">
        <color rgb="FFD9D9D9"/>
      </right>
      <top style="thin">
        <color rgb="FFD9D9D9"/>
      </top>
      <bottom style="medium">
        <color indexed="64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medium">
        <color indexed="64"/>
      </bottom>
      <diagonal/>
    </border>
    <border>
      <left style="thin">
        <color rgb="FFD9D9D9"/>
      </left>
      <right style="medium">
        <color indexed="64"/>
      </right>
      <top style="thin">
        <color rgb="FFD9D9D9"/>
      </top>
      <bottom style="medium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164" fontId="8" fillId="0" borderId="0" xfId="0" applyNumberFormat="1" applyFont="1"/>
    <xf numFmtId="164" fontId="9" fillId="0" borderId="0" xfId="0" applyNumberFormat="1" applyFont="1"/>
    <xf numFmtId="9" fontId="10" fillId="0" borderId="0" xfId="0" applyNumberFormat="1" applyFont="1"/>
    <xf numFmtId="0" fontId="11" fillId="0" borderId="0" xfId="0" applyFont="1"/>
    <xf numFmtId="0" fontId="0" fillId="0" borderId="1" xfId="0" applyBorder="1" applyAlignment="1">
      <alignment horizontal="center"/>
    </xf>
    <xf numFmtId="0" fontId="13" fillId="0" borderId="0" xfId="0" applyFont="1" applyAlignment="1">
      <alignment horizontal="center" vertical="center" wrapText="1"/>
    </xf>
    <xf numFmtId="0" fontId="13" fillId="0" borderId="0" xfId="0" applyFont="1" applyAlignment="1">
      <alignment horizontal="left" vertical="center" wrapText="1"/>
    </xf>
    <xf numFmtId="0" fontId="13" fillId="0" borderId="0" xfId="0" applyFont="1" applyAlignment="1">
      <alignment horizontal="left" vertical="center"/>
    </xf>
    <xf numFmtId="0" fontId="14" fillId="0" borderId="0" xfId="0" applyFont="1" applyAlignment="1">
      <alignment horizontal="left" vertical="center" wrapText="1"/>
    </xf>
    <xf numFmtId="0" fontId="13" fillId="0" borderId="0" xfId="0" applyFont="1"/>
    <xf numFmtId="0" fontId="2" fillId="0" borderId="0" xfId="0" applyFont="1"/>
    <xf numFmtId="0" fontId="0" fillId="0" borderId="0" xfId="0"/>
    <xf numFmtId="0" fontId="1" fillId="0" borderId="0" xfId="0" applyFont="1"/>
    <xf numFmtId="0" fontId="12" fillId="2" borderId="2" xfId="0" applyFont="1" applyFill="1" applyBorder="1" applyAlignment="1">
      <alignment horizontal="center"/>
    </xf>
    <xf numFmtId="0" fontId="12" fillId="2" borderId="3" xfId="0" applyFont="1" applyFill="1" applyBorder="1" applyAlignment="1">
      <alignment horizontal="center"/>
    </xf>
    <xf numFmtId="0" fontId="12" fillId="2" borderId="4" xfId="0" applyFont="1" applyFill="1" applyBorder="1" applyAlignment="1">
      <alignment horizontal="center"/>
    </xf>
    <xf numFmtId="0" fontId="0" fillId="0" borderId="5" xfId="0" applyBorder="1"/>
    <xf numFmtId="0" fontId="0" fillId="0" borderId="6" xfId="0" applyBorder="1" applyAlignment="1">
      <alignment horizontal="center"/>
    </xf>
    <xf numFmtId="0" fontId="0" fillId="0" borderId="7" xfId="0" applyBorder="1"/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</cellXfs>
  <cellStyles count="1">
    <cellStyle name="Normal" xfId="0" builtinId="0"/>
  </cellStyles>
  <dxfs count="14">
    <dxf>
      <font>
        <b/>
        <color rgb="FF9C0006"/>
      </font>
      <fill>
        <patternFill>
          <bgColor rgb="FFFFC7CE"/>
        </patternFill>
      </fill>
    </dxf>
    <dxf>
      <font>
        <b/>
        <color rgb="FF1E7145"/>
      </font>
      <fill>
        <patternFill>
          <bgColor rgb="FFC6EFCE"/>
        </patternFill>
      </fill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none"/>
      </font>
    </dxf>
    <dxf>
      <font>
        <b/>
        <strike val="0"/>
        <outline val="0"/>
        <shadow val="0"/>
        <u val="none"/>
        <vertAlign val="baseline"/>
        <sz val="14"/>
        <color theme="1"/>
        <name val="Calibri"/>
        <family val="2"/>
        <scheme val="none"/>
      </font>
    </dxf>
    <dxf>
      <font>
        <b/>
        <strike val="0"/>
        <outline val="0"/>
        <shadow val="0"/>
        <u val="none"/>
        <vertAlign val="baseline"/>
        <sz val="14"/>
        <color theme="1"/>
        <name val="Calibri"/>
        <family val="2"/>
        <scheme val="none"/>
      </font>
    </dxf>
    <dxf>
      <font>
        <b/>
        <strike val="0"/>
        <outline val="0"/>
        <shadow val="0"/>
        <u val="none"/>
        <vertAlign val="baseline"/>
        <sz val="14"/>
        <color theme="1"/>
        <name val="Calibri"/>
        <family val="2"/>
        <scheme val="none"/>
      </font>
    </dxf>
    <dxf>
      <font>
        <b/>
        <strike val="0"/>
        <outline val="0"/>
        <shadow val="0"/>
        <u val="none"/>
        <vertAlign val="baseline"/>
        <sz val="14"/>
        <color theme="1"/>
        <name val="Calibri"/>
        <family val="2"/>
        <scheme val="none"/>
      </font>
    </dxf>
    <dxf>
      <font>
        <b/>
        <strike val="0"/>
        <outline val="0"/>
        <shadow val="0"/>
        <u val="none"/>
        <vertAlign val="baseline"/>
        <sz val="14"/>
        <color theme="1"/>
        <name val="Calibri"/>
        <family val="2"/>
        <scheme val="none"/>
      </font>
      <alignment horizontal="center" vertical="center" textRotation="0" wrapText="1" indent="0" justifyLastLine="0" shrinkToFit="0" readingOrder="0"/>
    </dxf>
    <dxf>
      <font>
        <b/>
        <strike val="0"/>
        <outline val="0"/>
        <shadow val="0"/>
        <u val="none"/>
        <vertAlign val="baseline"/>
        <sz val="14"/>
        <color theme="1"/>
        <name val="Calibri"/>
        <family val="2"/>
        <scheme val="none"/>
      </font>
    </dxf>
    <dxf>
      <font>
        <b/>
        <strike val="0"/>
        <outline val="0"/>
        <shadow val="0"/>
        <u val="none"/>
        <vertAlign val="baseline"/>
        <sz val="14"/>
        <color theme="1"/>
        <name val="Calibri"/>
        <family val="2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none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156082"/>
      <rgbColor rgb="FFD9D9D9"/>
      <rgbColor rgb="FF8B8B8B"/>
      <rgbColor rgb="FF9999FF"/>
      <rgbColor rgb="FF993366"/>
      <rgbColor rgb="FFFFFFCC"/>
      <rgbColor rgb="FFCCFFFF"/>
      <rgbColor rgb="FF660066"/>
      <rgbColor rgb="FFFF8080"/>
      <rgbColor rgb="FF0066CC"/>
      <rgbColor rgb="FFCBD5E0"/>
      <rgbColor rgb="FF000080"/>
      <rgbColor rgb="FFFF00FF"/>
      <rgbColor rgb="FFFFFF00"/>
      <rgbColor rgb="FF00FFFF"/>
      <rgbColor rgb="FF800080"/>
      <rgbColor rgb="FF800000"/>
      <rgbColor rgb="FF1E7145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ED8936"/>
      <rgbColor rgb="FFFF6600"/>
      <rgbColor rgb="FF666666"/>
      <rgbColor rgb="FF969696"/>
      <rgbColor rgb="FF1A365D"/>
      <rgbColor rgb="FF2E7D32"/>
      <rgbColor rgb="FF003300"/>
      <rgbColor rgb="FF333300"/>
      <rgbColor rgb="FFC62828"/>
      <rgbColor rgb="FF993366"/>
      <rgbColor rgb="FF4A556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s-CL"/>
              <a:t>Estado general de las pruebas</a:t>
            </a:r>
          </a:p>
        </c:rich>
      </c:tx>
      <c:overlay val="1"/>
    </c:title>
    <c:autoTitleDeleted val="0"/>
    <c:plotArea>
      <c:layout/>
      <c:doughnutChart>
        <c:varyColors val="1"/>
        <c:ser>
          <c:idx val="0"/>
          <c:order val="0"/>
          <c:tx>
            <c:strRef>
              <c:f>Dashboard!$C$12</c:f>
              <c:strCache>
                <c:ptCount val="1"/>
                <c:pt idx="0">
                  <c:v>Cantidad</c:v>
                </c:pt>
              </c:strCache>
            </c:strRef>
          </c:tx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2E7D32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2F49-46B4-BCD7-A0679DEECAA0}"/>
              </c:ext>
            </c:extLst>
          </c:dPt>
          <c:dPt>
            <c:idx val="1"/>
            <c:bubble3D val="0"/>
            <c:spPr>
              <a:solidFill>
                <a:srgbClr val="C62828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2F49-46B4-BCD7-A0679DEECAA0}"/>
              </c:ext>
            </c:extLst>
          </c:dPt>
          <c:dPt>
            <c:idx val="2"/>
            <c:bubble3D val="0"/>
            <c:spPr>
              <a:solidFill>
                <a:srgbClr val="CBD5E0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2F49-46B4-BCD7-A0679DEECAA0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Dashboard!$B$13:$B$15</c:f>
              <c:strCache>
                <c:ptCount val="3"/>
                <c:pt idx="0">
                  <c:v>Aprobado</c:v>
                </c:pt>
                <c:pt idx="1">
                  <c:v>Fallido</c:v>
                </c:pt>
                <c:pt idx="2">
                  <c:v>Pendiente</c:v>
                </c:pt>
              </c:strCache>
            </c:strRef>
          </c:cat>
          <c:val>
            <c:numRef>
              <c:f>Dashboard!$C$13:$C$15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F49-46B4-BCD7-A0679DEECAA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10"/>
      </c:doughnut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s-CL"/>
              <a:t>Avance por requisito (CU)</a:t>
            </a:r>
          </a:p>
        </c:rich>
      </c:tx>
      <c:overlay val="1"/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tx>
            <c:strRef>
              <c:f>Dashboard!$C$18</c:f>
              <c:strCache>
                <c:ptCount val="1"/>
                <c:pt idx="0">
                  <c:v>Aprobado</c:v>
                </c:pt>
              </c:strCache>
            </c:strRef>
          </c:tx>
          <c:spPr>
            <a:solidFill>
              <a:srgbClr val="2E7D32"/>
            </a:solidFill>
            <a:ln>
              <a:prstDash val="solid"/>
            </a:ln>
          </c:spPr>
          <c:invertIfNegative val="1"/>
          <c:cat>
            <c:strRef>
              <c:f>Dashboard!$B$19:$B$25</c:f>
              <c:strCache>
                <c:ptCount val="7"/>
                <c:pt idx="0">
                  <c:v>CU-01</c:v>
                </c:pt>
                <c:pt idx="1">
                  <c:v>CU-02</c:v>
                </c:pt>
                <c:pt idx="2">
                  <c:v>CU-03</c:v>
                </c:pt>
                <c:pt idx="3">
                  <c:v>CU-04</c:v>
                </c:pt>
                <c:pt idx="4">
                  <c:v>CU-05</c:v>
                </c:pt>
                <c:pt idx="5">
                  <c:v>CU-06</c:v>
                </c:pt>
                <c:pt idx="6">
                  <c:v>CU-WEB</c:v>
                </c:pt>
              </c:strCache>
            </c:strRef>
          </c:cat>
          <c:val>
            <c:numRef>
              <c:f>Dashboard!$C$19:$C$25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7A71-4C48-88B6-F1F617A34E37}"/>
            </c:ext>
          </c:extLst>
        </c:ser>
        <c:ser>
          <c:idx val="1"/>
          <c:order val="1"/>
          <c:tx>
            <c:strRef>
              <c:f>Dashboard!$D$18</c:f>
              <c:strCache>
                <c:ptCount val="1"/>
                <c:pt idx="0">
                  <c:v>Fallido</c:v>
                </c:pt>
              </c:strCache>
            </c:strRef>
          </c:tx>
          <c:spPr>
            <a:solidFill>
              <a:srgbClr val="C62828"/>
            </a:solidFill>
            <a:ln>
              <a:prstDash val="solid"/>
            </a:ln>
          </c:spPr>
          <c:invertIfNegative val="1"/>
          <c:cat>
            <c:strRef>
              <c:f>Dashboard!$B$19:$B$25</c:f>
              <c:strCache>
                <c:ptCount val="7"/>
                <c:pt idx="0">
                  <c:v>CU-01</c:v>
                </c:pt>
                <c:pt idx="1">
                  <c:v>CU-02</c:v>
                </c:pt>
                <c:pt idx="2">
                  <c:v>CU-03</c:v>
                </c:pt>
                <c:pt idx="3">
                  <c:v>CU-04</c:v>
                </c:pt>
                <c:pt idx="4">
                  <c:v>CU-05</c:v>
                </c:pt>
                <c:pt idx="5">
                  <c:v>CU-06</c:v>
                </c:pt>
                <c:pt idx="6">
                  <c:v>CU-WEB</c:v>
                </c:pt>
              </c:strCache>
            </c:strRef>
          </c:cat>
          <c:val>
            <c:numRef>
              <c:f>Dashboard!$D$19:$D$25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7A71-4C48-88B6-F1F617A34E37}"/>
            </c:ext>
          </c:extLst>
        </c:ser>
        <c:ser>
          <c:idx val="2"/>
          <c:order val="2"/>
          <c:tx>
            <c:strRef>
              <c:f>Dashboard!$E$18</c:f>
              <c:strCache>
                <c:ptCount val="1"/>
                <c:pt idx="0">
                  <c:v>Pendiente</c:v>
                </c:pt>
              </c:strCache>
            </c:strRef>
          </c:tx>
          <c:spPr>
            <a:solidFill>
              <a:srgbClr val="CBD5E0"/>
            </a:solidFill>
            <a:ln>
              <a:prstDash val="solid"/>
            </a:ln>
          </c:spPr>
          <c:invertIfNegative val="1"/>
          <c:cat>
            <c:strRef>
              <c:f>Dashboard!$B$19:$B$25</c:f>
              <c:strCache>
                <c:ptCount val="7"/>
                <c:pt idx="0">
                  <c:v>CU-01</c:v>
                </c:pt>
                <c:pt idx="1">
                  <c:v>CU-02</c:v>
                </c:pt>
                <c:pt idx="2">
                  <c:v>CU-03</c:v>
                </c:pt>
                <c:pt idx="3">
                  <c:v>CU-04</c:v>
                </c:pt>
                <c:pt idx="4">
                  <c:v>CU-05</c:v>
                </c:pt>
                <c:pt idx="5">
                  <c:v>CU-06</c:v>
                </c:pt>
                <c:pt idx="6">
                  <c:v>CU-WEB</c:v>
                </c:pt>
              </c:strCache>
            </c:strRef>
          </c:cat>
          <c:val>
            <c:numRef>
              <c:f>Dashboard!$E$19:$E$25</c:f>
              <c:numCache>
                <c:formatCode>General</c:formatCode>
                <c:ptCount val="7"/>
                <c:pt idx="0">
                  <c:v>12</c:v>
                </c:pt>
                <c:pt idx="1">
                  <c:v>8</c:v>
                </c:pt>
                <c:pt idx="2">
                  <c:v>7</c:v>
                </c:pt>
                <c:pt idx="3">
                  <c:v>6</c:v>
                </c:pt>
                <c:pt idx="4">
                  <c:v>8</c:v>
                </c:pt>
                <c:pt idx="5">
                  <c:v>9</c:v>
                </c:pt>
                <c:pt idx="6">
                  <c:v>15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7A71-4C48-88B6-F1F617A34E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s-CL"/>
                  <a:t>Caso de uso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CL"/>
                  <a:t>Casos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  <c:spPr>
        <a:ln>
          <a:solidFill>
            <a:schemeClr val="accent1"/>
          </a:solidFill>
        </a:ln>
      </c:spPr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4</xdr:row>
      <xdr:rowOff>0</xdr:rowOff>
    </xdr:from>
    <xdr:ext cx="3960000" cy="28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</xdr:col>
      <xdr:colOff>0</xdr:colOff>
      <xdr:row>27</xdr:row>
      <xdr:rowOff>0</xdr:rowOff>
    </xdr:from>
    <xdr:ext cx="6120000" cy="324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ruebas" displayName="Pruebas" ref="A1:J66" totalsRowShown="0" headerRowDxfId="13" dataDxfId="12">
  <autoFilter ref="A1:J66" xr:uid="{00000000-0009-0000-0100-000001000000}"/>
  <tableColumns count="10">
    <tableColumn id="1" xr3:uid="{00000000-0010-0000-0000-000001000000}" name="ID Prueba" dataDxfId="11"/>
    <tableColumn id="2" xr3:uid="{00000000-0010-0000-0000-000002000000}" name="Nombre de la Prueba" dataDxfId="10"/>
    <tableColumn id="3" xr3:uid="{00000000-0010-0000-0000-000003000000}" name="Requisito (CU)" dataDxfId="9"/>
    <tableColumn id="4" xr3:uid="{00000000-0010-0000-0000-000004000000}" name="Precondición" dataDxfId="8"/>
    <tableColumn id="5" xr3:uid="{00000000-0010-0000-0000-000005000000}" name="Datos" dataDxfId="7"/>
    <tableColumn id="6" xr3:uid="{00000000-0010-0000-0000-000006000000}" name="Acción" dataDxfId="6"/>
    <tableColumn id="7" xr3:uid="{00000000-0010-0000-0000-000007000000}" name="Resultado esperado" dataDxfId="5"/>
    <tableColumn id="8" xr3:uid="{00000000-0010-0000-0000-000008000000}" name="Resultado obtenido" dataDxfId="4"/>
    <tableColumn id="9" xr3:uid="{00000000-0010-0000-0000-000009000000}" name="Criterio de aceptación" dataDxfId="3"/>
    <tableColumn id="10" xr3:uid="{00000000-0010-0000-0000-00000A000000}" name="Evidencia" dataDxfId="2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J25"/>
  <sheetViews>
    <sheetView showGridLines="0" tabSelected="1" zoomScaleNormal="100" workbookViewId="0">
      <selection activeCell="D9" sqref="D9"/>
    </sheetView>
  </sheetViews>
  <sheetFormatPr baseColWidth="10" defaultColWidth="8.5546875" defaultRowHeight="14.4" x14ac:dyDescent="0.3"/>
  <cols>
    <col min="1" max="1" width="3" customWidth="1"/>
    <col min="2" max="2" width="20" customWidth="1"/>
    <col min="3" max="5" width="16" customWidth="1"/>
    <col min="6" max="6" width="4" customWidth="1"/>
    <col min="7" max="7" width="18" customWidth="1"/>
    <col min="8" max="10" width="12" customWidth="1"/>
    <col min="11" max="11" width="14" customWidth="1"/>
  </cols>
  <sheetData>
    <row r="2" spans="2:10" ht="27.75" customHeight="1" x14ac:dyDescent="0.4">
      <c r="B2" s="18" t="s">
        <v>0</v>
      </c>
      <c r="C2" s="17"/>
      <c r="D2" s="17"/>
      <c r="E2" s="17"/>
      <c r="F2" s="17"/>
      <c r="G2" s="17"/>
      <c r="H2" s="17"/>
      <c r="I2" s="17"/>
      <c r="J2" s="17"/>
    </row>
    <row r="3" spans="2:10" ht="15" customHeight="1" x14ac:dyDescent="0.3">
      <c r="B3" s="16"/>
      <c r="C3" s="17"/>
      <c r="D3" s="17"/>
      <c r="E3" s="17"/>
      <c r="F3" s="17"/>
      <c r="G3" s="17"/>
      <c r="H3" s="17"/>
      <c r="I3" s="17"/>
      <c r="J3" s="17"/>
    </row>
    <row r="5" spans="2:10" ht="15" customHeight="1" x14ac:dyDescent="0.3">
      <c r="B5" s="1" t="s">
        <v>1</v>
      </c>
      <c r="D5" s="1" t="s">
        <v>2</v>
      </c>
      <c r="F5" s="1" t="s">
        <v>3</v>
      </c>
      <c r="H5" s="1" t="s">
        <v>4</v>
      </c>
    </row>
    <row r="6" spans="2:10" ht="33.75" customHeight="1" x14ac:dyDescent="0.65">
      <c r="B6" s="2">
        <f>COUNTA(Hoja1!A2:A66)</f>
        <v>65</v>
      </c>
      <c r="D6" s="3">
        <f>COUNTIF(Hoja1!$I$2:$I$66,"Aprobado")+COUNTIF(Hoja1!$I$2:$I$66,"Fallido")</f>
        <v>0</v>
      </c>
      <c r="F6" s="4">
        <f>COUNTIF(Hoja1!$I$2:$I$66,"Aprobado")</f>
        <v>0</v>
      </c>
      <c r="H6" s="5">
        <f>COUNTIF(Hoja1!$I$2:$I$66,"Fallido")</f>
        <v>0</v>
      </c>
    </row>
    <row r="8" spans="2:10" ht="15" customHeight="1" x14ac:dyDescent="0.3">
      <c r="B8" s="1" t="s">
        <v>5</v>
      </c>
      <c r="D8" s="1" t="s">
        <v>6</v>
      </c>
    </row>
    <row r="9" spans="2:10" ht="27.75" customHeight="1" x14ac:dyDescent="0.55000000000000004">
      <c r="B9" s="6">
        <f>IFERROR((COUNTIF(Hoja1!$I$2:$I$66,"Aprobado")+COUNTIF(Hoja1!$I$2:$I$66,"Fallido"))/COUNTA(Hoja1!A2:A66),0)</f>
        <v>0</v>
      </c>
      <c r="D9" s="7">
        <f>IFERROR(COUNTIF(Hoja1!$I$2:$I$66,"Aprobado")/(COUNTIF(Hoja1!$I$2:$I$66,"Aprobado")+COUNTIF(Hoja1!$I$2:$I$66,"Fallido")),0)</f>
        <v>0</v>
      </c>
    </row>
    <row r="10" spans="2:10" ht="15" customHeight="1" x14ac:dyDescent="0.3">
      <c r="B10" s="8"/>
    </row>
    <row r="11" spans="2:10" ht="15" customHeight="1" thickBot="1" x14ac:dyDescent="0.35">
      <c r="B11" s="9" t="s">
        <v>7</v>
      </c>
    </row>
    <row r="12" spans="2:10" ht="15" customHeight="1" x14ac:dyDescent="0.3">
      <c r="B12" s="19" t="s">
        <v>8</v>
      </c>
      <c r="C12" s="21" t="s">
        <v>9</v>
      </c>
    </row>
    <row r="13" spans="2:10" ht="15" customHeight="1" x14ac:dyDescent="0.3">
      <c r="B13" s="22" t="s">
        <v>10</v>
      </c>
      <c r="C13" s="23">
        <f>COUNTIF(Hoja1!$I$2:$I$66,"Aprobado")</f>
        <v>0</v>
      </c>
    </row>
    <row r="14" spans="2:10" ht="15" customHeight="1" x14ac:dyDescent="0.3">
      <c r="B14" s="22" t="s">
        <v>11</v>
      </c>
      <c r="C14" s="23">
        <f>COUNTIF(Hoja1!$I$2:$I$66,"Fallido")</f>
        <v>0</v>
      </c>
    </row>
    <row r="15" spans="2:10" ht="15" customHeight="1" thickBot="1" x14ac:dyDescent="0.35">
      <c r="B15" s="24" t="s">
        <v>12</v>
      </c>
      <c r="C15" s="26">
        <f>COUNTA(Hoja1!A2:A66)-COUNTIF(Hoja1!$I$2:$I$66,"Aprobado")-COUNTIF(Hoja1!$I$2:$I$66,"Fallido")</f>
        <v>65</v>
      </c>
    </row>
    <row r="17" spans="2:6" ht="15" customHeight="1" thickBot="1" x14ac:dyDescent="0.35">
      <c r="B17" s="9" t="s">
        <v>13</v>
      </c>
    </row>
    <row r="18" spans="2:6" ht="15" customHeight="1" x14ac:dyDescent="0.3">
      <c r="B18" s="19" t="s">
        <v>14</v>
      </c>
      <c r="C18" s="20" t="s">
        <v>10</v>
      </c>
      <c r="D18" s="20" t="s">
        <v>11</v>
      </c>
      <c r="E18" s="20" t="s">
        <v>12</v>
      </c>
      <c r="F18" s="21" t="s">
        <v>15</v>
      </c>
    </row>
    <row r="19" spans="2:6" ht="15" customHeight="1" x14ac:dyDescent="0.3">
      <c r="B19" s="22" t="s">
        <v>16</v>
      </c>
      <c r="C19" s="10">
        <f>COUNTIFS(Hoja1!$C$2:$C$66,"CU-01",Hoja1!$I$2:$I$66,"Aprobado")</f>
        <v>0</v>
      </c>
      <c r="D19" s="10">
        <f>COUNTIFS(Hoja1!$C$2:$C$66,"CU-01",Hoja1!$I$2:$I$66,"Fallido")</f>
        <v>0</v>
      </c>
      <c r="E19" s="10">
        <f t="shared" ref="E19:E25" si="0">F19-C19-D19</f>
        <v>12</v>
      </c>
      <c r="F19" s="23">
        <f>COUNTIF(Hoja1!$C$2:$C$66,"CU-01")</f>
        <v>12</v>
      </c>
    </row>
    <row r="20" spans="2:6" ht="15" customHeight="1" x14ac:dyDescent="0.3">
      <c r="B20" s="22" t="s">
        <v>17</v>
      </c>
      <c r="C20" s="10">
        <f>COUNTIFS(Hoja1!$C$2:$C$66,"CU-02",Hoja1!$I$2:$I$66,"Aprobado")</f>
        <v>0</v>
      </c>
      <c r="D20" s="10">
        <f>COUNTIFS(Hoja1!$C$2:$C$66,"CU-02",Hoja1!$I$2:$I$66,"Fallido")</f>
        <v>0</v>
      </c>
      <c r="E20" s="10">
        <f t="shared" si="0"/>
        <v>8</v>
      </c>
      <c r="F20" s="23">
        <f>COUNTIF(Hoja1!$C$2:$C$66,"CU-02")</f>
        <v>8</v>
      </c>
    </row>
    <row r="21" spans="2:6" ht="15" customHeight="1" x14ac:dyDescent="0.3">
      <c r="B21" s="22" t="s">
        <v>18</v>
      </c>
      <c r="C21" s="10">
        <f>COUNTIFS(Hoja1!$C$2:$C$66,"CU-03",Hoja1!$I$2:$I$66,"Aprobado")</f>
        <v>0</v>
      </c>
      <c r="D21" s="10">
        <f>COUNTIFS(Hoja1!$C$2:$C$66,"CU-03",Hoja1!$I$2:$I$66,"Fallido")</f>
        <v>0</v>
      </c>
      <c r="E21" s="10">
        <f t="shared" si="0"/>
        <v>7</v>
      </c>
      <c r="F21" s="23">
        <f>COUNTIF(Hoja1!$C$2:$C$66,"CU-03")</f>
        <v>7</v>
      </c>
    </row>
    <row r="22" spans="2:6" ht="15" customHeight="1" x14ac:dyDescent="0.3">
      <c r="B22" s="22" t="s">
        <v>19</v>
      </c>
      <c r="C22" s="10">
        <f>COUNTIFS(Hoja1!$C$2:$C$66,"CU-04",Hoja1!$I$2:$I$66,"Aprobado")</f>
        <v>0</v>
      </c>
      <c r="D22" s="10">
        <f>COUNTIFS(Hoja1!$C$2:$C$66,"CU-04",Hoja1!$I$2:$I$66,"Fallido")</f>
        <v>0</v>
      </c>
      <c r="E22" s="10">
        <f t="shared" si="0"/>
        <v>6</v>
      </c>
      <c r="F22" s="23">
        <f>COUNTIF(Hoja1!$C$2:$C$66,"CU-04")</f>
        <v>6</v>
      </c>
    </row>
    <row r="23" spans="2:6" ht="15" customHeight="1" x14ac:dyDescent="0.3">
      <c r="B23" s="22" t="s">
        <v>20</v>
      </c>
      <c r="C23" s="10">
        <f>COUNTIFS(Hoja1!$C$2:$C$66,"CU-05",Hoja1!$I$2:$I$66,"Aprobado")</f>
        <v>0</v>
      </c>
      <c r="D23" s="10">
        <f>COUNTIFS(Hoja1!$C$2:$C$66,"CU-05",Hoja1!$I$2:$I$66,"Fallido")</f>
        <v>0</v>
      </c>
      <c r="E23" s="10">
        <f t="shared" si="0"/>
        <v>8</v>
      </c>
      <c r="F23" s="23">
        <f>COUNTIF(Hoja1!$C$2:$C$66,"CU-05")</f>
        <v>8</v>
      </c>
    </row>
    <row r="24" spans="2:6" ht="15" customHeight="1" x14ac:dyDescent="0.3">
      <c r="B24" s="22" t="s">
        <v>21</v>
      </c>
      <c r="C24" s="10">
        <f>COUNTIFS(Hoja1!$C$2:$C$66,"CU-06",Hoja1!$I$2:$I$66,"Aprobado")</f>
        <v>0</v>
      </c>
      <c r="D24" s="10">
        <f>COUNTIFS(Hoja1!$C$2:$C$66,"CU-06",Hoja1!$I$2:$I$66,"Fallido")</f>
        <v>0</v>
      </c>
      <c r="E24" s="10">
        <f t="shared" si="0"/>
        <v>9</v>
      </c>
      <c r="F24" s="23">
        <f>COUNTIF(Hoja1!$C$2:$C$66,"CU-06")</f>
        <v>9</v>
      </c>
    </row>
    <row r="25" spans="2:6" ht="15" customHeight="1" thickBot="1" x14ac:dyDescent="0.35">
      <c r="B25" s="24" t="s">
        <v>22</v>
      </c>
      <c r="C25" s="25">
        <f>COUNTIFS(Hoja1!$C$2:$C$66,"CU-WEB",Hoja1!$I$2:$I$66,"Aprobado")</f>
        <v>0</v>
      </c>
      <c r="D25" s="25">
        <f>COUNTIFS(Hoja1!$C$2:$C$66,"CU-WEB",Hoja1!$I$2:$I$66,"Fallido")</f>
        <v>0</v>
      </c>
      <c r="E25" s="25">
        <f t="shared" si="0"/>
        <v>15</v>
      </c>
      <c r="F25" s="26">
        <f>COUNTIF(Hoja1!$C$2:$C$66,"CU-WEB")</f>
        <v>15</v>
      </c>
    </row>
  </sheetData>
  <mergeCells count="2">
    <mergeCell ref="B3:J3"/>
    <mergeCell ref="B2:J2"/>
  </mergeCells>
  <conditionalFormatting sqref="B9">
    <cfRule type="dataBar" priority="3">
      <dataBar>
        <cfvo type="num" val="0"/>
        <cfvo type="num" val="1"/>
        <color rgb="FFED8936"/>
      </dataBar>
    </cfRule>
  </conditionalFormatting>
  <conditionalFormatting sqref="B10">
    <cfRule type="dataBar" priority="2">
      <dataBar showValue="0">
        <cfvo type="num" val="0"/>
        <cfvo type="num" val="1"/>
        <color rgb="FFED8936"/>
      </dataBar>
    </cfRule>
  </conditionalFormatting>
  <conditionalFormatting sqref="D9">
    <cfRule type="dataBar" priority="4">
      <dataBar>
        <cfvo type="num" val="0"/>
        <cfvo type="num" val="1"/>
        <color rgb="FF2E7D32"/>
      </dataBar>
    </cfRule>
  </conditionalFormatting>
  <pageMargins left="0.3" right="0.3" top="0.4" bottom="0.4" header="0.5" footer="0.5"/>
  <pageSetup paperSize="9" fitToHeight="0" orientation="landscape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66"/>
  <sheetViews>
    <sheetView topLeftCell="A10" zoomScale="70" zoomScaleNormal="70" workbookViewId="0">
      <selection activeCell="P5" sqref="P5"/>
    </sheetView>
  </sheetViews>
  <sheetFormatPr baseColWidth="10" defaultColWidth="10.5546875" defaultRowHeight="14.4" x14ac:dyDescent="0.3"/>
  <cols>
    <col min="1" max="1" width="10.44140625" customWidth="1"/>
    <col min="2" max="2" width="35.33203125" customWidth="1"/>
    <col min="3" max="3" width="16.88671875" bestFit="1" customWidth="1"/>
    <col min="4" max="4" width="33.44140625" customWidth="1"/>
    <col min="5" max="5" width="34.5546875" customWidth="1"/>
    <col min="6" max="6" width="52.33203125" customWidth="1"/>
    <col min="7" max="7" width="51.5546875" customWidth="1"/>
    <col min="8" max="8" width="21.6640625" customWidth="1"/>
    <col min="9" max="9" width="17.44140625" customWidth="1"/>
    <col min="10" max="10" width="20" customWidth="1"/>
  </cols>
  <sheetData>
    <row r="1" spans="1:10" ht="56.25" customHeight="1" x14ac:dyDescent="0.3">
      <c r="A1" s="11" t="s">
        <v>23</v>
      </c>
      <c r="B1" s="11" t="s">
        <v>24</v>
      </c>
      <c r="C1" s="11" t="s">
        <v>25</v>
      </c>
      <c r="D1" s="11" t="s">
        <v>26</v>
      </c>
      <c r="E1" s="11" t="s">
        <v>27</v>
      </c>
      <c r="F1" s="11" t="s">
        <v>28</v>
      </c>
      <c r="G1" s="11" t="s">
        <v>29</v>
      </c>
      <c r="H1" s="11" t="s">
        <v>30</v>
      </c>
      <c r="I1" s="11" t="s">
        <v>374</v>
      </c>
      <c r="J1" s="11" t="s">
        <v>31</v>
      </c>
    </row>
    <row r="2" spans="1:10" ht="72" customHeight="1" x14ac:dyDescent="0.3">
      <c r="A2" s="11" t="s">
        <v>32</v>
      </c>
      <c r="B2" s="12" t="s">
        <v>33</v>
      </c>
      <c r="C2" s="11" t="s">
        <v>21</v>
      </c>
      <c r="D2" s="12" t="s">
        <v>34</v>
      </c>
      <c r="E2" s="12" t="s">
        <v>35</v>
      </c>
      <c r="F2" s="13" t="s">
        <v>36</v>
      </c>
      <c r="G2" s="12" t="s">
        <v>37</v>
      </c>
      <c r="H2" s="14"/>
      <c r="I2" s="14"/>
      <c r="J2" s="14"/>
    </row>
    <row r="3" spans="1:10" ht="57" customHeight="1" x14ac:dyDescent="0.3">
      <c r="A3" s="11" t="s">
        <v>38</v>
      </c>
      <c r="B3" s="12" t="s">
        <v>39</v>
      </c>
      <c r="C3" s="11" t="s">
        <v>21</v>
      </c>
      <c r="D3" s="12" t="s">
        <v>34</v>
      </c>
      <c r="E3" s="12" t="s">
        <v>40</v>
      </c>
      <c r="F3" s="12" t="s">
        <v>36</v>
      </c>
      <c r="G3" s="12" t="s">
        <v>41</v>
      </c>
      <c r="H3" s="14"/>
      <c r="I3" s="14"/>
      <c r="J3" s="14"/>
    </row>
    <row r="4" spans="1:10" ht="72" customHeight="1" x14ac:dyDescent="0.3">
      <c r="A4" s="11" t="s">
        <v>42</v>
      </c>
      <c r="B4" s="12" t="s">
        <v>43</v>
      </c>
      <c r="C4" s="11" t="s">
        <v>21</v>
      </c>
      <c r="D4" s="12" t="s">
        <v>44</v>
      </c>
      <c r="E4" s="12" t="s">
        <v>45</v>
      </c>
      <c r="F4" s="12" t="s">
        <v>36</v>
      </c>
      <c r="G4" s="12" t="s">
        <v>46</v>
      </c>
      <c r="H4" s="14"/>
      <c r="I4" s="14"/>
      <c r="J4" s="14"/>
    </row>
    <row r="5" spans="1:10" ht="72" customHeight="1" x14ac:dyDescent="0.3">
      <c r="A5" s="11" t="s">
        <v>47</v>
      </c>
      <c r="B5" s="12" t="s">
        <v>48</v>
      </c>
      <c r="C5" s="11" t="s">
        <v>21</v>
      </c>
      <c r="D5" s="12" t="s">
        <v>49</v>
      </c>
      <c r="E5" s="12" t="s">
        <v>50</v>
      </c>
      <c r="F5" s="12" t="s">
        <v>36</v>
      </c>
      <c r="G5" s="12" t="s">
        <v>51</v>
      </c>
      <c r="H5" s="14"/>
      <c r="I5" s="14"/>
      <c r="J5" s="14"/>
    </row>
    <row r="6" spans="1:10" ht="57" customHeight="1" x14ac:dyDescent="0.3">
      <c r="A6" s="11" t="s">
        <v>52</v>
      </c>
      <c r="B6" s="12" t="s">
        <v>53</v>
      </c>
      <c r="C6" s="11" t="s">
        <v>21</v>
      </c>
      <c r="D6" s="12" t="s">
        <v>49</v>
      </c>
      <c r="E6" s="12" t="s">
        <v>54</v>
      </c>
      <c r="F6" s="12" t="s">
        <v>36</v>
      </c>
      <c r="G6" s="12" t="s">
        <v>55</v>
      </c>
      <c r="H6" s="14"/>
      <c r="I6" s="14"/>
      <c r="J6" s="14"/>
    </row>
    <row r="7" spans="1:10" ht="57" customHeight="1" x14ac:dyDescent="0.3">
      <c r="A7" s="11" t="s">
        <v>56</v>
      </c>
      <c r="B7" s="12" t="s">
        <v>57</v>
      </c>
      <c r="C7" s="11" t="s">
        <v>16</v>
      </c>
      <c r="D7" s="12" t="s">
        <v>58</v>
      </c>
      <c r="E7" s="12" t="s">
        <v>59</v>
      </c>
      <c r="F7" s="12" t="s">
        <v>60</v>
      </c>
      <c r="G7" s="12" t="s">
        <v>61</v>
      </c>
      <c r="H7" s="14"/>
      <c r="I7" s="14"/>
      <c r="J7" s="14"/>
    </row>
    <row r="8" spans="1:10" ht="57" customHeight="1" x14ac:dyDescent="0.3">
      <c r="A8" s="11" t="s">
        <v>62</v>
      </c>
      <c r="B8" s="12" t="s">
        <v>63</v>
      </c>
      <c r="C8" s="11" t="s">
        <v>21</v>
      </c>
      <c r="D8" s="12" t="s">
        <v>64</v>
      </c>
      <c r="E8" s="12" t="s">
        <v>65</v>
      </c>
      <c r="F8" s="12" t="s">
        <v>60</v>
      </c>
      <c r="G8" s="12" t="s">
        <v>66</v>
      </c>
      <c r="H8" s="14"/>
      <c r="I8" s="14"/>
      <c r="J8" s="14"/>
    </row>
    <row r="9" spans="1:10" ht="57" customHeight="1" x14ac:dyDescent="0.3">
      <c r="A9" s="11" t="s">
        <v>67</v>
      </c>
      <c r="B9" s="12" t="s">
        <v>68</v>
      </c>
      <c r="C9" s="11" t="s">
        <v>21</v>
      </c>
      <c r="D9" s="12" t="s">
        <v>69</v>
      </c>
      <c r="E9" s="12" t="s">
        <v>70</v>
      </c>
      <c r="F9" s="12" t="s">
        <v>71</v>
      </c>
      <c r="G9" s="12" t="s">
        <v>72</v>
      </c>
      <c r="H9" s="14"/>
      <c r="I9" s="14"/>
      <c r="J9" s="14"/>
    </row>
    <row r="10" spans="1:10" ht="57" customHeight="1" x14ac:dyDescent="0.3">
      <c r="A10" s="11" t="s">
        <v>73</v>
      </c>
      <c r="B10" s="12" t="s">
        <v>74</v>
      </c>
      <c r="C10" s="11" t="s">
        <v>21</v>
      </c>
      <c r="D10" s="12" t="s">
        <v>75</v>
      </c>
      <c r="E10" s="12" t="s">
        <v>76</v>
      </c>
      <c r="F10" s="12" t="s">
        <v>36</v>
      </c>
      <c r="G10" s="12" t="s">
        <v>77</v>
      </c>
      <c r="H10" s="14"/>
      <c r="I10" s="14"/>
      <c r="J10" s="14"/>
    </row>
    <row r="11" spans="1:10" ht="57" customHeight="1" x14ac:dyDescent="0.3">
      <c r="A11" s="11" t="s">
        <v>78</v>
      </c>
      <c r="B11" s="12" t="s">
        <v>79</v>
      </c>
      <c r="C11" s="11" t="s">
        <v>21</v>
      </c>
      <c r="D11" s="12" t="s">
        <v>44</v>
      </c>
      <c r="E11" s="12" t="s">
        <v>80</v>
      </c>
      <c r="F11" s="12" t="s">
        <v>81</v>
      </c>
      <c r="G11" s="12" t="s">
        <v>82</v>
      </c>
      <c r="H11" s="14"/>
      <c r="I11" s="14"/>
      <c r="J11" s="14"/>
    </row>
    <row r="12" spans="1:10" ht="72" customHeight="1" x14ac:dyDescent="0.3">
      <c r="A12" s="11" t="s">
        <v>83</v>
      </c>
      <c r="B12" s="12" t="s">
        <v>84</v>
      </c>
      <c r="C12" s="11" t="s">
        <v>16</v>
      </c>
      <c r="D12" s="12" t="s">
        <v>85</v>
      </c>
      <c r="E12" s="12" t="s">
        <v>86</v>
      </c>
      <c r="F12" s="12" t="s">
        <v>87</v>
      </c>
      <c r="G12" s="12" t="s">
        <v>88</v>
      </c>
      <c r="H12" s="14"/>
      <c r="I12" s="14"/>
      <c r="J12" s="14"/>
    </row>
    <row r="13" spans="1:10" ht="72" customHeight="1" x14ac:dyDescent="0.3">
      <c r="A13" s="11" t="s">
        <v>89</v>
      </c>
      <c r="B13" s="12" t="s">
        <v>90</v>
      </c>
      <c r="C13" s="11" t="s">
        <v>16</v>
      </c>
      <c r="D13" s="12" t="s">
        <v>85</v>
      </c>
      <c r="E13" s="12" t="s">
        <v>91</v>
      </c>
      <c r="F13" s="12" t="s">
        <v>87</v>
      </c>
      <c r="G13" s="12" t="s">
        <v>92</v>
      </c>
      <c r="H13" s="14"/>
      <c r="I13" s="14"/>
      <c r="J13" s="14"/>
    </row>
    <row r="14" spans="1:10" ht="72" customHeight="1" x14ac:dyDescent="0.3">
      <c r="A14" s="11" t="s">
        <v>93</v>
      </c>
      <c r="B14" s="12" t="s">
        <v>94</v>
      </c>
      <c r="C14" s="11" t="s">
        <v>16</v>
      </c>
      <c r="D14" s="12" t="s">
        <v>85</v>
      </c>
      <c r="E14" s="12" t="s">
        <v>95</v>
      </c>
      <c r="F14" s="12" t="s">
        <v>87</v>
      </c>
      <c r="G14" s="12" t="s">
        <v>96</v>
      </c>
      <c r="H14" s="14"/>
      <c r="I14" s="14"/>
      <c r="J14" s="14"/>
    </row>
    <row r="15" spans="1:10" ht="86.25" customHeight="1" x14ac:dyDescent="0.3">
      <c r="A15" s="11" t="s">
        <v>97</v>
      </c>
      <c r="B15" s="12" t="s">
        <v>98</v>
      </c>
      <c r="C15" s="11" t="s">
        <v>16</v>
      </c>
      <c r="D15" s="12" t="s">
        <v>85</v>
      </c>
      <c r="E15" s="12" t="s">
        <v>99</v>
      </c>
      <c r="F15" s="12" t="s">
        <v>87</v>
      </c>
      <c r="G15" s="12" t="s">
        <v>100</v>
      </c>
      <c r="H15" s="14"/>
      <c r="I15" s="14"/>
      <c r="J15" s="14"/>
    </row>
    <row r="16" spans="1:10" ht="86.25" customHeight="1" x14ac:dyDescent="0.3">
      <c r="A16" s="11" t="s">
        <v>101</v>
      </c>
      <c r="B16" s="12" t="s">
        <v>102</v>
      </c>
      <c r="C16" s="11" t="s">
        <v>16</v>
      </c>
      <c r="D16" s="12" t="s">
        <v>85</v>
      </c>
      <c r="E16" s="12" t="s">
        <v>103</v>
      </c>
      <c r="F16" s="12" t="s">
        <v>104</v>
      </c>
      <c r="G16" s="12" t="s">
        <v>105</v>
      </c>
      <c r="H16" s="14"/>
      <c r="I16" s="14"/>
      <c r="J16" s="14"/>
    </row>
    <row r="17" spans="1:10" ht="72" customHeight="1" x14ac:dyDescent="0.3">
      <c r="A17" s="11" t="s">
        <v>106</v>
      </c>
      <c r="B17" s="12" t="s">
        <v>107</v>
      </c>
      <c r="C17" s="11" t="s">
        <v>16</v>
      </c>
      <c r="D17" s="12" t="s">
        <v>108</v>
      </c>
      <c r="E17" s="12" t="s">
        <v>109</v>
      </c>
      <c r="F17" s="12" t="s">
        <v>104</v>
      </c>
      <c r="G17" s="12" t="s">
        <v>110</v>
      </c>
      <c r="H17" s="14"/>
      <c r="I17" s="14"/>
      <c r="J17" s="14"/>
    </row>
    <row r="18" spans="1:10" ht="72" customHeight="1" x14ac:dyDescent="0.3">
      <c r="A18" s="11" t="s">
        <v>111</v>
      </c>
      <c r="B18" s="12" t="s">
        <v>112</v>
      </c>
      <c r="C18" s="11" t="s">
        <v>16</v>
      </c>
      <c r="D18" s="12" t="s">
        <v>113</v>
      </c>
      <c r="E18" s="12" t="s">
        <v>114</v>
      </c>
      <c r="F18" s="12" t="s">
        <v>104</v>
      </c>
      <c r="G18" s="12" t="s">
        <v>115</v>
      </c>
      <c r="H18" s="14"/>
      <c r="I18" s="14"/>
      <c r="J18" s="14"/>
    </row>
    <row r="19" spans="1:10" ht="57" customHeight="1" x14ac:dyDescent="0.3">
      <c r="A19" s="11" t="s">
        <v>116</v>
      </c>
      <c r="B19" s="12" t="s">
        <v>117</v>
      </c>
      <c r="C19" s="11" t="s">
        <v>16</v>
      </c>
      <c r="D19" s="12" t="s">
        <v>118</v>
      </c>
      <c r="E19" s="12" t="s">
        <v>119</v>
      </c>
      <c r="F19" s="12" t="s">
        <v>120</v>
      </c>
      <c r="G19" s="12" t="s">
        <v>121</v>
      </c>
      <c r="H19" s="14"/>
      <c r="I19" s="14"/>
      <c r="J19" s="14"/>
    </row>
    <row r="20" spans="1:10" ht="72" customHeight="1" x14ac:dyDescent="0.3">
      <c r="A20" s="11" t="s">
        <v>122</v>
      </c>
      <c r="B20" s="12" t="s">
        <v>123</v>
      </c>
      <c r="C20" s="11" t="s">
        <v>16</v>
      </c>
      <c r="D20" s="12" t="s">
        <v>124</v>
      </c>
      <c r="E20" s="12" t="s">
        <v>125</v>
      </c>
      <c r="F20" s="12" t="s">
        <v>126</v>
      </c>
      <c r="G20" s="12" t="s">
        <v>127</v>
      </c>
      <c r="H20" s="14"/>
      <c r="I20" s="14"/>
      <c r="J20" s="14"/>
    </row>
    <row r="21" spans="1:10" ht="72" customHeight="1" x14ac:dyDescent="0.3">
      <c r="A21" s="11" t="s">
        <v>128</v>
      </c>
      <c r="B21" s="12" t="s">
        <v>129</v>
      </c>
      <c r="C21" s="11" t="s">
        <v>16</v>
      </c>
      <c r="D21" s="12" t="s">
        <v>124</v>
      </c>
      <c r="E21" s="12" t="s">
        <v>130</v>
      </c>
      <c r="F21" s="12" t="s">
        <v>131</v>
      </c>
      <c r="G21" s="12" t="s">
        <v>132</v>
      </c>
      <c r="H21" s="14"/>
      <c r="I21" s="14"/>
      <c r="J21" s="14"/>
    </row>
    <row r="22" spans="1:10" ht="72" customHeight="1" x14ac:dyDescent="0.3">
      <c r="A22" s="11" t="s">
        <v>133</v>
      </c>
      <c r="B22" s="12" t="s">
        <v>134</v>
      </c>
      <c r="C22" s="11" t="s">
        <v>16</v>
      </c>
      <c r="D22" s="12" t="s">
        <v>124</v>
      </c>
      <c r="E22" s="12" t="s">
        <v>130</v>
      </c>
      <c r="F22" s="12" t="s">
        <v>135</v>
      </c>
      <c r="G22" s="12" t="s">
        <v>136</v>
      </c>
      <c r="H22" s="14"/>
      <c r="I22" s="14"/>
      <c r="J22" s="14"/>
    </row>
    <row r="23" spans="1:10" ht="72" customHeight="1" x14ac:dyDescent="0.3">
      <c r="A23" s="11" t="s">
        <v>137</v>
      </c>
      <c r="B23" s="12" t="s">
        <v>138</v>
      </c>
      <c r="C23" s="11" t="s">
        <v>17</v>
      </c>
      <c r="D23" s="12" t="s">
        <v>139</v>
      </c>
      <c r="E23" s="12" t="s">
        <v>140</v>
      </c>
      <c r="F23" s="12" t="s">
        <v>141</v>
      </c>
      <c r="G23" s="12" t="s">
        <v>142</v>
      </c>
      <c r="H23" s="14"/>
      <c r="I23" s="14"/>
      <c r="J23" s="14"/>
    </row>
    <row r="24" spans="1:10" ht="42.75" customHeight="1" x14ac:dyDescent="0.3">
      <c r="A24" s="11" t="s">
        <v>143</v>
      </c>
      <c r="B24" s="12" t="s">
        <v>144</v>
      </c>
      <c r="C24" s="11" t="s">
        <v>17</v>
      </c>
      <c r="D24" s="12" t="s">
        <v>145</v>
      </c>
      <c r="E24" s="12" t="s">
        <v>146</v>
      </c>
      <c r="F24" s="12" t="s">
        <v>141</v>
      </c>
      <c r="G24" s="12" t="s">
        <v>147</v>
      </c>
      <c r="H24" s="14"/>
      <c r="I24" s="14"/>
      <c r="J24" s="14"/>
    </row>
    <row r="25" spans="1:10" ht="57" customHeight="1" x14ac:dyDescent="0.3">
      <c r="A25" s="11" t="s">
        <v>148</v>
      </c>
      <c r="B25" s="12" t="s">
        <v>149</v>
      </c>
      <c r="C25" s="11" t="s">
        <v>17</v>
      </c>
      <c r="D25" s="12" t="s">
        <v>145</v>
      </c>
      <c r="E25" s="12" t="s">
        <v>150</v>
      </c>
      <c r="F25" s="12" t="s">
        <v>141</v>
      </c>
      <c r="G25" s="12" t="s">
        <v>151</v>
      </c>
      <c r="H25" s="14"/>
      <c r="I25" s="14"/>
      <c r="J25" s="14"/>
    </row>
    <row r="26" spans="1:10" ht="57" customHeight="1" x14ac:dyDescent="0.3">
      <c r="A26" s="11" t="s">
        <v>152</v>
      </c>
      <c r="B26" s="12" t="s">
        <v>153</v>
      </c>
      <c r="C26" s="11" t="s">
        <v>17</v>
      </c>
      <c r="D26" s="12" t="s">
        <v>145</v>
      </c>
      <c r="E26" s="12" t="s">
        <v>154</v>
      </c>
      <c r="F26" s="12" t="s">
        <v>141</v>
      </c>
      <c r="G26" s="12" t="s">
        <v>155</v>
      </c>
      <c r="H26" s="14"/>
      <c r="I26" s="14"/>
      <c r="J26" s="14"/>
    </row>
    <row r="27" spans="1:10" ht="57" customHeight="1" x14ac:dyDescent="0.3">
      <c r="A27" s="11" t="s">
        <v>156</v>
      </c>
      <c r="B27" s="12" t="s">
        <v>157</v>
      </c>
      <c r="C27" s="11" t="s">
        <v>17</v>
      </c>
      <c r="D27" s="12" t="s">
        <v>158</v>
      </c>
      <c r="E27" s="12" t="s">
        <v>159</v>
      </c>
      <c r="F27" s="12" t="s">
        <v>141</v>
      </c>
      <c r="G27" s="12" t="s">
        <v>160</v>
      </c>
      <c r="H27" s="14"/>
      <c r="I27" s="14"/>
      <c r="J27" s="14"/>
    </row>
    <row r="28" spans="1:10" ht="57" customHeight="1" x14ac:dyDescent="0.3">
      <c r="A28" s="11" t="s">
        <v>161</v>
      </c>
      <c r="B28" s="12" t="s">
        <v>162</v>
      </c>
      <c r="C28" s="11" t="s">
        <v>17</v>
      </c>
      <c r="D28" s="12" t="s">
        <v>163</v>
      </c>
      <c r="E28" s="12" t="s">
        <v>164</v>
      </c>
      <c r="F28" s="12" t="s">
        <v>141</v>
      </c>
      <c r="G28" s="12" t="s">
        <v>165</v>
      </c>
      <c r="H28" s="14"/>
      <c r="I28" s="14"/>
      <c r="J28" s="14"/>
    </row>
    <row r="29" spans="1:10" ht="72" customHeight="1" x14ac:dyDescent="0.3">
      <c r="A29" s="11" t="s">
        <v>166</v>
      </c>
      <c r="B29" s="12" t="s">
        <v>167</v>
      </c>
      <c r="C29" s="11" t="s">
        <v>17</v>
      </c>
      <c r="D29" s="12" t="s">
        <v>168</v>
      </c>
      <c r="E29" s="12" t="s">
        <v>169</v>
      </c>
      <c r="F29" s="12" t="s">
        <v>170</v>
      </c>
      <c r="G29" s="12" t="s">
        <v>171</v>
      </c>
      <c r="H29" s="14"/>
      <c r="I29" s="14"/>
      <c r="J29" s="14"/>
    </row>
    <row r="30" spans="1:10" ht="72" customHeight="1" x14ac:dyDescent="0.3">
      <c r="A30" s="11" t="s">
        <v>172</v>
      </c>
      <c r="B30" s="12" t="s">
        <v>173</v>
      </c>
      <c r="C30" s="11" t="s">
        <v>17</v>
      </c>
      <c r="D30" s="12" t="s">
        <v>145</v>
      </c>
      <c r="E30" s="12" t="s">
        <v>174</v>
      </c>
      <c r="F30" s="12" t="s">
        <v>141</v>
      </c>
      <c r="G30" s="12" t="s">
        <v>175</v>
      </c>
      <c r="H30" s="14"/>
      <c r="I30" s="14"/>
      <c r="J30" s="14"/>
    </row>
    <row r="31" spans="1:10" ht="57" customHeight="1" x14ac:dyDescent="0.3">
      <c r="A31" s="11" t="s">
        <v>176</v>
      </c>
      <c r="B31" s="12" t="s">
        <v>177</v>
      </c>
      <c r="C31" s="11" t="s">
        <v>18</v>
      </c>
      <c r="D31" s="12" t="s">
        <v>178</v>
      </c>
      <c r="E31" s="12" t="s">
        <v>91</v>
      </c>
      <c r="F31" s="12" t="s">
        <v>179</v>
      </c>
      <c r="G31" s="12" t="s">
        <v>180</v>
      </c>
      <c r="H31" s="14"/>
      <c r="I31" s="14"/>
      <c r="J31" s="14"/>
    </row>
    <row r="32" spans="1:10" ht="57" customHeight="1" x14ac:dyDescent="0.3">
      <c r="A32" s="11" t="s">
        <v>181</v>
      </c>
      <c r="B32" s="12" t="s">
        <v>182</v>
      </c>
      <c r="C32" s="11" t="s">
        <v>18</v>
      </c>
      <c r="D32" s="12" t="s">
        <v>183</v>
      </c>
      <c r="E32" s="12" t="s">
        <v>184</v>
      </c>
      <c r="F32" s="12" t="s">
        <v>185</v>
      </c>
      <c r="G32" s="12" t="s">
        <v>186</v>
      </c>
      <c r="H32" s="14"/>
      <c r="I32" s="14"/>
      <c r="J32" s="14"/>
    </row>
    <row r="33" spans="1:10" ht="72" customHeight="1" x14ac:dyDescent="0.3">
      <c r="A33" s="11" t="s">
        <v>187</v>
      </c>
      <c r="B33" s="12" t="s">
        <v>188</v>
      </c>
      <c r="C33" s="11" t="s">
        <v>18</v>
      </c>
      <c r="D33" s="12" t="s">
        <v>189</v>
      </c>
      <c r="E33" s="12" t="s">
        <v>190</v>
      </c>
      <c r="F33" s="12" t="s">
        <v>191</v>
      </c>
      <c r="G33" s="12" t="s">
        <v>192</v>
      </c>
      <c r="H33" s="14"/>
      <c r="I33" s="14"/>
      <c r="J33" s="14"/>
    </row>
    <row r="34" spans="1:10" ht="57" customHeight="1" x14ac:dyDescent="0.3">
      <c r="A34" s="11" t="s">
        <v>193</v>
      </c>
      <c r="B34" s="12" t="s">
        <v>194</v>
      </c>
      <c r="C34" s="11" t="s">
        <v>18</v>
      </c>
      <c r="D34" s="12" t="s">
        <v>195</v>
      </c>
      <c r="E34" s="12" t="s">
        <v>196</v>
      </c>
      <c r="F34" s="12" t="s">
        <v>191</v>
      </c>
      <c r="G34" s="12" t="s">
        <v>197</v>
      </c>
      <c r="H34" s="14"/>
      <c r="I34" s="14"/>
      <c r="J34" s="14"/>
    </row>
    <row r="35" spans="1:10" ht="57" customHeight="1" x14ac:dyDescent="0.3">
      <c r="A35" s="11" t="s">
        <v>198</v>
      </c>
      <c r="B35" s="12" t="s">
        <v>199</v>
      </c>
      <c r="C35" s="11" t="s">
        <v>18</v>
      </c>
      <c r="D35" s="12" t="s">
        <v>189</v>
      </c>
      <c r="E35" s="12" t="s">
        <v>200</v>
      </c>
      <c r="F35" s="12" t="s">
        <v>201</v>
      </c>
      <c r="G35" s="12" t="s">
        <v>202</v>
      </c>
      <c r="H35" s="14"/>
      <c r="I35" s="14"/>
      <c r="J35" s="14"/>
    </row>
    <row r="36" spans="1:10" ht="57" customHeight="1" x14ac:dyDescent="0.3">
      <c r="A36" s="11" t="s">
        <v>203</v>
      </c>
      <c r="B36" s="12" t="s">
        <v>204</v>
      </c>
      <c r="C36" s="11" t="s">
        <v>18</v>
      </c>
      <c r="D36" s="12" t="s">
        <v>205</v>
      </c>
      <c r="E36" s="12" t="s">
        <v>184</v>
      </c>
      <c r="F36" s="12" t="s">
        <v>206</v>
      </c>
      <c r="G36" s="12" t="s">
        <v>207</v>
      </c>
      <c r="H36" s="14"/>
      <c r="I36" s="14"/>
      <c r="J36" s="14"/>
    </row>
    <row r="37" spans="1:10" ht="86.25" customHeight="1" x14ac:dyDescent="0.3">
      <c r="A37" s="11" t="s">
        <v>208</v>
      </c>
      <c r="B37" s="12" t="s">
        <v>209</v>
      </c>
      <c r="C37" s="11" t="s">
        <v>18</v>
      </c>
      <c r="D37" s="12" t="s">
        <v>210</v>
      </c>
      <c r="E37" s="12" t="s">
        <v>211</v>
      </c>
      <c r="F37" s="12" t="s">
        <v>212</v>
      </c>
      <c r="G37" s="12" t="s">
        <v>213</v>
      </c>
      <c r="H37" s="14"/>
      <c r="I37" s="14"/>
      <c r="J37" s="14"/>
    </row>
    <row r="38" spans="1:10" ht="57" customHeight="1" x14ac:dyDescent="0.3">
      <c r="A38" s="11" t="s">
        <v>214</v>
      </c>
      <c r="B38" s="12" t="s">
        <v>215</v>
      </c>
      <c r="C38" s="11" t="s">
        <v>19</v>
      </c>
      <c r="D38" s="12" t="s">
        <v>85</v>
      </c>
      <c r="E38" s="12" t="s">
        <v>216</v>
      </c>
      <c r="F38" s="12" t="s">
        <v>217</v>
      </c>
      <c r="G38" s="12" t="s">
        <v>218</v>
      </c>
      <c r="H38" s="14"/>
      <c r="I38" s="14"/>
      <c r="J38" s="14"/>
    </row>
    <row r="39" spans="1:10" ht="57" customHeight="1" x14ac:dyDescent="0.3">
      <c r="A39" s="11" t="s">
        <v>219</v>
      </c>
      <c r="B39" s="12" t="s">
        <v>220</v>
      </c>
      <c r="C39" s="11" t="s">
        <v>19</v>
      </c>
      <c r="D39" s="12" t="s">
        <v>85</v>
      </c>
      <c r="E39" s="12" t="s">
        <v>221</v>
      </c>
      <c r="F39" s="12" t="s">
        <v>222</v>
      </c>
      <c r="G39" s="12" t="s">
        <v>223</v>
      </c>
      <c r="H39" s="14"/>
      <c r="I39" s="14"/>
      <c r="J39" s="14"/>
    </row>
    <row r="40" spans="1:10" ht="57" customHeight="1" x14ac:dyDescent="0.3">
      <c r="A40" s="11" t="s">
        <v>224</v>
      </c>
      <c r="B40" s="12" t="s">
        <v>225</v>
      </c>
      <c r="C40" s="11" t="s">
        <v>19</v>
      </c>
      <c r="D40" s="12" t="s">
        <v>226</v>
      </c>
      <c r="E40" s="12" t="s">
        <v>91</v>
      </c>
      <c r="F40" s="12" t="s">
        <v>227</v>
      </c>
      <c r="G40" s="12" t="s">
        <v>228</v>
      </c>
      <c r="H40" s="14"/>
      <c r="I40" s="14"/>
      <c r="J40" s="14"/>
    </row>
    <row r="41" spans="1:10" ht="57" customHeight="1" x14ac:dyDescent="0.3">
      <c r="A41" s="11" t="s">
        <v>229</v>
      </c>
      <c r="B41" s="12" t="s">
        <v>230</v>
      </c>
      <c r="C41" s="11" t="s">
        <v>19</v>
      </c>
      <c r="D41" s="12" t="s">
        <v>231</v>
      </c>
      <c r="E41" s="12" t="s">
        <v>232</v>
      </c>
      <c r="F41" s="12" t="s">
        <v>233</v>
      </c>
      <c r="G41" s="12" t="s">
        <v>234</v>
      </c>
      <c r="H41" s="14"/>
      <c r="I41" s="14"/>
      <c r="J41" s="14"/>
    </row>
    <row r="42" spans="1:10" ht="72" customHeight="1" x14ac:dyDescent="0.3">
      <c r="A42" s="11" t="s">
        <v>235</v>
      </c>
      <c r="B42" s="12" t="s">
        <v>236</v>
      </c>
      <c r="C42" s="11" t="s">
        <v>19</v>
      </c>
      <c r="D42" s="12" t="s">
        <v>237</v>
      </c>
      <c r="E42" s="12" t="s">
        <v>238</v>
      </c>
      <c r="F42" s="12" t="s">
        <v>239</v>
      </c>
      <c r="G42" s="12" t="s">
        <v>240</v>
      </c>
      <c r="H42" s="14"/>
      <c r="I42" s="14"/>
      <c r="J42" s="14"/>
    </row>
    <row r="43" spans="1:10" ht="72" customHeight="1" x14ac:dyDescent="0.3">
      <c r="A43" s="11" t="s">
        <v>241</v>
      </c>
      <c r="B43" s="12" t="s">
        <v>242</v>
      </c>
      <c r="C43" s="11" t="s">
        <v>19</v>
      </c>
      <c r="D43" s="12" t="s">
        <v>243</v>
      </c>
      <c r="E43" s="12" t="s">
        <v>244</v>
      </c>
      <c r="F43" s="12" t="s">
        <v>245</v>
      </c>
      <c r="G43" s="12" t="s">
        <v>246</v>
      </c>
      <c r="H43" s="14"/>
      <c r="I43" s="14"/>
      <c r="J43" s="14"/>
    </row>
    <row r="44" spans="1:10" ht="57" customHeight="1" x14ac:dyDescent="0.3">
      <c r="A44" s="11" t="s">
        <v>247</v>
      </c>
      <c r="B44" s="12" t="s">
        <v>248</v>
      </c>
      <c r="C44" s="11" t="s">
        <v>20</v>
      </c>
      <c r="D44" s="12" t="s">
        <v>249</v>
      </c>
      <c r="E44" s="12" t="s">
        <v>250</v>
      </c>
      <c r="F44" s="12" t="s">
        <v>251</v>
      </c>
      <c r="G44" s="12" t="s">
        <v>252</v>
      </c>
      <c r="H44" s="14"/>
      <c r="I44" s="14"/>
      <c r="J44" s="14"/>
    </row>
    <row r="45" spans="1:10" ht="57" customHeight="1" x14ac:dyDescent="0.3">
      <c r="A45" s="11" t="s">
        <v>253</v>
      </c>
      <c r="B45" s="12" t="s">
        <v>254</v>
      </c>
      <c r="C45" s="11" t="s">
        <v>20</v>
      </c>
      <c r="D45" s="12" t="s">
        <v>255</v>
      </c>
      <c r="E45" s="12" t="s">
        <v>256</v>
      </c>
      <c r="F45" s="12" t="s">
        <v>257</v>
      </c>
      <c r="G45" s="12" t="s">
        <v>258</v>
      </c>
      <c r="H45" s="14"/>
      <c r="I45" s="14"/>
      <c r="J45" s="14"/>
    </row>
    <row r="46" spans="1:10" ht="57" customHeight="1" x14ac:dyDescent="0.3">
      <c r="A46" s="11" t="s">
        <v>259</v>
      </c>
      <c r="B46" s="12" t="s">
        <v>260</v>
      </c>
      <c r="C46" s="11" t="s">
        <v>20</v>
      </c>
      <c r="D46" s="12" t="s">
        <v>261</v>
      </c>
      <c r="E46" s="12" t="s">
        <v>262</v>
      </c>
      <c r="F46" s="12" t="s">
        <v>257</v>
      </c>
      <c r="G46" s="12" t="s">
        <v>263</v>
      </c>
      <c r="H46" s="14"/>
      <c r="I46" s="14"/>
      <c r="J46" s="14"/>
    </row>
    <row r="47" spans="1:10" ht="86.25" customHeight="1" x14ac:dyDescent="0.3">
      <c r="A47" s="11" t="s">
        <v>264</v>
      </c>
      <c r="B47" s="12" t="s">
        <v>265</v>
      </c>
      <c r="C47" s="11" t="s">
        <v>20</v>
      </c>
      <c r="D47" s="12" t="s">
        <v>266</v>
      </c>
      <c r="E47" s="12" t="s">
        <v>267</v>
      </c>
      <c r="F47" s="12" t="s">
        <v>268</v>
      </c>
      <c r="G47" s="12" t="s">
        <v>269</v>
      </c>
      <c r="H47" s="14"/>
      <c r="I47" s="14"/>
      <c r="J47" s="14"/>
    </row>
    <row r="48" spans="1:10" ht="57" customHeight="1" x14ac:dyDescent="0.3">
      <c r="A48" s="11" t="s">
        <v>270</v>
      </c>
      <c r="B48" s="12" t="s">
        <v>271</v>
      </c>
      <c r="C48" s="11" t="s">
        <v>20</v>
      </c>
      <c r="D48" s="12" t="s">
        <v>272</v>
      </c>
      <c r="E48" s="12" t="s">
        <v>273</v>
      </c>
      <c r="F48" s="12" t="s">
        <v>274</v>
      </c>
      <c r="G48" s="12" t="s">
        <v>275</v>
      </c>
      <c r="H48" s="14"/>
      <c r="I48" s="14"/>
      <c r="J48" s="14"/>
    </row>
    <row r="49" spans="1:10" ht="72" customHeight="1" x14ac:dyDescent="0.3">
      <c r="A49" s="11" t="s">
        <v>276</v>
      </c>
      <c r="B49" s="12" t="s">
        <v>277</v>
      </c>
      <c r="C49" s="11" t="s">
        <v>20</v>
      </c>
      <c r="D49" s="12" t="s">
        <v>278</v>
      </c>
      <c r="E49" s="12" t="s">
        <v>279</v>
      </c>
      <c r="F49" s="12" t="s">
        <v>280</v>
      </c>
      <c r="G49" s="12" t="s">
        <v>281</v>
      </c>
      <c r="H49" s="14"/>
      <c r="I49" s="14"/>
      <c r="J49" s="14"/>
    </row>
    <row r="50" spans="1:10" ht="72" customHeight="1" x14ac:dyDescent="0.3">
      <c r="A50" s="11" t="s">
        <v>282</v>
      </c>
      <c r="B50" s="12" t="s">
        <v>283</v>
      </c>
      <c r="C50" s="11" t="s">
        <v>20</v>
      </c>
      <c r="D50" s="12" t="s">
        <v>272</v>
      </c>
      <c r="E50" s="12" t="s">
        <v>284</v>
      </c>
      <c r="F50" s="12" t="s">
        <v>285</v>
      </c>
      <c r="G50" s="12" t="s">
        <v>286</v>
      </c>
      <c r="H50" s="14"/>
      <c r="I50" s="14"/>
      <c r="J50" s="14"/>
    </row>
    <row r="51" spans="1:10" ht="72" customHeight="1" x14ac:dyDescent="0.3">
      <c r="A51" s="11" t="s">
        <v>287</v>
      </c>
      <c r="B51" s="12" t="s">
        <v>288</v>
      </c>
      <c r="C51" s="11" t="s">
        <v>20</v>
      </c>
      <c r="D51" s="12" t="s">
        <v>289</v>
      </c>
      <c r="E51" s="12" t="s">
        <v>290</v>
      </c>
      <c r="F51" s="12" t="s">
        <v>291</v>
      </c>
      <c r="G51" s="12" t="s">
        <v>292</v>
      </c>
      <c r="H51" s="14"/>
      <c r="I51" s="14"/>
      <c r="J51" s="14"/>
    </row>
    <row r="52" spans="1:10" ht="72" customHeight="1" x14ac:dyDescent="0.3">
      <c r="A52" s="11" t="s">
        <v>293</v>
      </c>
      <c r="B52" s="12" t="s">
        <v>294</v>
      </c>
      <c r="C52" s="11" t="s">
        <v>22</v>
      </c>
      <c r="D52" s="12" t="s">
        <v>295</v>
      </c>
      <c r="E52" s="12" t="s">
        <v>296</v>
      </c>
      <c r="F52" s="12" t="s">
        <v>297</v>
      </c>
      <c r="G52" s="12" t="s">
        <v>298</v>
      </c>
      <c r="H52" s="14"/>
      <c r="I52" s="14"/>
      <c r="J52" s="14"/>
    </row>
    <row r="53" spans="1:10" ht="72" customHeight="1" x14ac:dyDescent="0.3">
      <c r="A53" s="11" t="s">
        <v>299</v>
      </c>
      <c r="B53" s="12" t="s">
        <v>300</v>
      </c>
      <c r="C53" s="11" t="s">
        <v>22</v>
      </c>
      <c r="D53" s="12" t="s">
        <v>301</v>
      </c>
      <c r="E53" s="12" t="s">
        <v>302</v>
      </c>
      <c r="F53" s="12" t="s">
        <v>297</v>
      </c>
      <c r="G53" s="12" t="s">
        <v>303</v>
      </c>
      <c r="H53" s="14"/>
      <c r="I53" s="14"/>
      <c r="J53" s="14"/>
    </row>
    <row r="54" spans="1:10" ht="72" customHeight="1" x14ac:dyDescent="0.3">
      <c r="A54" s="11" t="s">
        <v>304</v>
      </c>
      <c r="B54" s="12" t="s">
        <v>305</v>
      </c>
      <c r="C54" s="11" t="s">
        <v>22</v>
      </c>
      <c r="D54" s="12" t="s">
        <v>49</v>
      </c>
      <c r="E54" s="12" t="s">
        <v>306</v>
      </c>
      <c r="F54" s="12" t="s">
        <v>307</v>
      </c>
      <c r="G54" s="12" t="s">
        <v>308</v>
      </c>
      <c r="H54" s="14"/>
      <c r="I54" s="14"/>
      <c r="J54" s="14"/>
    </row>
    <row r="55" spans="1:10" ht="57" customHeight="1" x14ac:dyDescent="0.3">
      <c r="A55" s="11" t="s">
        <v>309</v>
      </c>
      <c r="B55" s="12" t="s">
        <v>310</v>
      </c>
      <c r="C55" s="11" t="s">
        <v>22</v>
      </c>
      <c r="D55" s="12" t="s">
        <v>311</v>
      </c>
      <c r="E55" s="12" t="s">
        <v>312</v>
      </c>
      <c r="F55" s="12" t="s">
        <v>313</v>
      </c>
      <c r="G55" s="12" t="s">
        <v>314</v>
      </c>
      <c r="H55" s="14"/>
      <c r="I55" s="14"/>
      <c r="J55" s="14"/>
    </row>
    <row r="56" spans="1:10" ht="72" customHeight="1" x14ac:dyDescent="0.3">
      <c r="A56" s="11" t="s">
        <v>315</v>
      </c>
      <c r="B56" s="12" t="s">
        <v>316</v>
      </c>
      <c r="C56" s="11" t="s">
        <v>22</v>
      </c>
      <c r="D56" s="12" t="s">
        <v>317</v>
      </c>
      <c r="E56" s="12" t="s">
        <v>318</v>
      </c>
      <c r="F56" s="12" t="s">
        <v>319</v>
      </c>
      <c r="G56" s="12" t="s">
        <v>320</v>
      </c>
      <c r="H56" s="14"/>
      <c r="I56" s="14"/>
      <c r="J56" s="14"/>
    </row>
    <row r="57" spans="1:10" ht="72" customHeight="1" x14ac:dyDescent="0.3">
      <c r="A57" s="11" t="s">
        <v>321</v>
      </c>
      <c r="B57" s="12" t="s">
        <v>322</v>
      </c>
      <c r="C57" s="11" t="s">
        <v>22</v>
      </c>
      <c r="D57" s="12" t="s">
        <v>49</v>
      </c>
      <c r="E57" s="12" t="s">
        <v>323</v>
      </c>
      <c r="F57" s="12" t="s">
        <v>324</v>
      </c>
      <c r="G57" s="12" t="s">
        <v>325</v>
      </c>
      <c r="H57" s="14"/>
      <c r="I57" s="14"/>
      <c r="J57" s="14"/>
    </row>
    <row r="58" spans="1:10" ht="86.25" customHeight="1" x14ac:dyDescent="0.3">
      <c r="A58" s="11" t="s">
        <v>326</v>
      </c>
      <c r="B58" s="12" t="s">
        <v>327</v>
      </c>
      <c r="C58" s="11" t="s">
        <v>22</v>
      </c>
      <c r="D58" s="12" t="s">
        <v>328</v>
      </c>
      <c r="E58" s="12" t="s">
        <v>329</v>
      </c>
      <c r="F58" s="12" t="s">
        <v>330</v>
      </c>
      <c r="G58" s="12" t="s">
        <v>331</v>
      </c>
      <c r="H58" s="14"/>
      <c r="I58" s="14"/>
      <c r="J58" s="14"/>
    </row>
    <row r="59" spans="1:10" ht="72" customHeight="1" x14ac:dyDescent="0.3">
      <c r="A59" s="11" t="s">
        <v>332</v>
      </c>
      <c r="B59" s="12" t="s">
        <v>333</v>
      </c>
      <c r="C59" s="11" t="s">
        <v>22</v>
      </c>
      <c r="D59" s="12" t="s">
        <v>334</v>
      </c>
      <c r="E59" s="12" t="s">
        <v>335</v>
      </c>
      <c r="F59" s="12" t="s">
        <v>336</v>
      </c>
      <c r="G59" s="12" t="s">
        <v>337</v>
      </c>
      <c r="H59" s="14"/>
      <c r="I59" s="14"/>
      <c r="J59" s="14"/>
    </row>
    <row r="60" spans="1:10" ht="72" customHeight="1" x14ac:dyDescent="0.3">
      <c r="A60" s="11" t="s">
        <v>338</v>
      </c>
      <c r="B60" s="12" t="s">
        <v>339</v>
      </c>
      <c r="C60" s="11" t="s">
        <v>22</v>
      </c>
      <c r="D60" s="12" t="s">
        <v>340</v>
      </c>
      <c r="E60" s="12" t="s">
        <v>341</v>
      </c>
      <c r="F60" s="12" t="s">
        <v>342</v>
      </c>
      <c r="G60" s="12" t="s">
        <v>343</v>
      </c>
      <c r="H60" s="14"/>
      <c r="I60" s="14"/>
      <c r="J60" s="14"/>
    </row>
    <row r="61" spans="1:10" ht="86.25" customHeight="1" x14ac:dyDescent="0.3">
      <c r="A61" s="11" t="s">
        <v>344</v>
      </c>
      <c r="B61" s="12" t="s">
        <v>345</v>
      </c>
      <c r="C61" s="11" t="s">
        <v>22</v>
      </c>
      <c r="D61" s="12" t="s">
        <v>340</v>
      </c>
      <c r="E61" s="12" t="s">
        <v>346</v>
      </c>
      <c r="F61" s="12" t="s">
        <v>342</v>
      </c>
      <c r="G61" s="12" t="s">
        <v>347</v>
      </c>
      <c r="H61" s="14"/>
      <c r="I61" s="14"/>
      <c r="J61" s="14"/>
    </row>
    <row r="62" spans="1:10" ht="72" customHeight="1" x14ac:dyDescent="0.3">
      <c r="A62" s="11" t="s">
        <v>348</v>
      </c>
      <c r="B62" s="12" t="s">
        <v>349</v>
      </c>
      <c r="C62" s="11" t="s">
        <v>22</v>
      </c>
      <c r="D62" s="12" t="s">
        <v>350</v>
      </c>
      <c r="E62" s="12" t="s">
        <v>351</v>
      </c>
      <c r="F62" s="12" t="s">
        <v>352</v>
      </c>
      <c r="G62" s="12" t="s">
        <v>353</v>
      </c>
      <c r="H62" s="14"/>
      <c r="I62" s="14"/>
      <c r="J62" s="14"/>
    </row>
    <row r="63" spans="1:10" ht="42.75" customHeight="1" x14ac:dyDescent="0.3">
      <c r="A63" s="11" t="s">
        <v>354</v>
      </c>
      <c r="B63" s="12" t="s">
        <v>355</v>
      </c>
      <c r="C63" s="11" t="s">
        <v>22</v>
      </c>
      <c r="D63" s="12" t="s">
        <v>356</v>
      </c>
      <c r="E63" s="12" t="s">
        <v>351</v>
      </c>
      <c r="F63" s="12" t="s">
        <v>352</v>
      </c>
      <c r="G63" s="12" t="s">
        <v>357</v>
      </c>
      <c r="H63" s="14"/>
      <c r="I63" s="14"/>
      <c r="J63" s="14"/>
    </row>
    <row r="64" spans="1:10" ht="42.75" customHeight="1" x14ac:dyDescent="0.35">
      <c r="A64" s="11" t="s">
        <v>358</v>
      </c>
      <c r="B64" s="12" t="s">
        <v>359</v>
      </c>
      <c r="C64" s="11" t="s">
        <v>22</v>
      </c>
      <c r="D64" s="12" t="s">
        <v>360</v>
      </c>
      <c r="E64" s="12" t="s">
        <v>361</v>
      </c>
      <c r="F64" s="12" t="s">
        <v>362</v>
      </c>
      <c r="G64" s="15" t="s">
        <v>363</v>
      </c>
      <c r="H64" s="14"/>
      <c r="I64" s="14"/>
      <c r="J64" s="14"/>
    </row>
    <row r="65" spans="1:10" ht="42.75" customHeight="1" x14ac:dyDescent="0.3">
      <c r="A65" s="11" t="s">
        <v>364</v>
      </c>
      <c r="B65" s="12" t="s">
        <v>365</v>
      </c>
      <c r="C65" s="11" t="s">
        <v>22</v>
      </c>
      <c r="D65" s="12" t="s">
        <v>317</v>
      </c>
      <c r="E65" s="12" t="s">
        <v>366</v>
      </c>
      <c r="F65" s="12" t="s">
        <v>367</v>
      </c>
      <c r="G65" s="12" t="s">
        <v>368</v>
      </c>
      <c r="H65" s="14"/>
      <c r="I65" s="14"/>
      <c r="J65" s="14"/>
    </row>
    <row r="66" spans="1:10" ht="57" customHeight="1" x14ac:dyDescent="0.3">
      <c r="A66" s="11" t="s">
        <v>369</v>
      </c>
      <c r="B66" s="12" t="s">
        <v>370</v>
      </c>
      <c r="C66" s="11" t="s">
        <v>22</v>
      </c>
      <c r="D66" s="12" t="s">
        <v>317</v>
      </c>
      <c r="E66" s="12" t="s">
        <v>371</v>
      </c>
      <c r="F66" s="12" t="s">
        <v>372</v>
      </c>
      <c r="G66" s="12" t="s">
        <v>373</v>
      </c>
      <c r="H66" s="14"/>
      <c r="I66" s="14"/>
      <c r="J66" s="14"/>
    </row>
  </sheetData>
  <conditionalFormatting sqref="I2:I66">
    <cfRule type="cellIs" dxfId="1" priority="2" operator="equal">
      <formula>"Aprobado"</formula>
    </cfRule>
    <cfRule type="cellIs" dxfId="0" priority="3" operator="equal">
      <formula>"Fallido"</formula>
    </cfRule>
  </conditionalFormatting>
  <dataValidations count="1">
    <dataValidation type="list" allowBlank="1" showErrorMessage="1" errorTitle="Valor no válido" error="Selecciona Aprobado o Fallido (deja en blanco si está pendiente)." sqref="I2:I66" xr:uid="{00000000-0002-0000-0100-000000000000}">
      <formula1>"Aprobado,Fallido"</formula1>
      <formula2>0</formula2>
    </dataValidation>
  </dataValidations>
  <pageMargins left="0.7" right="0.7" top="0.75" bottom="0.75" header="0.511811023622047" footer="0.511811023622047"/>
  <pageSetup paperSize="9" orientation="portrait" horizontalDpi="300" verticalDpi="3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Dashboard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CONSTANZA BEATRIZ CORTES SEPULVEDA</dc:creator>
  <cp:lastModifiedBy>MARIA JOSE BUSTAMANTE QUEZADA</cp:lastModifiedBy>
  <cp:revision>2</cp:revision>
  <dcterms:created xsi:type="dcterms:W3CDTF">2026-10-04T23:49:26Z</dcterms:created>
  <dcterms:modified xsi:type="dcterms:W3CDTF">2026-10-08T03:45:46Z</dcterms:modified>
  <dc:language>en-US</dc:language>
</cp:coreProperties>
</file>